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Para lançar" sheetId="2" state="visible" r:id="rId2"/>
    <sheet xmlns:r="http://schemas.openxmlformats.org/officeDocument/2006/relationships" name="Sem arquivo" sheetId="3" state="visible" r:id="rId3"/>
    <sheet xmlns:r="http://schemas.openxmlformats.org/officeDocument/2006/relationships" name="Alertas" sheetId="4" state="visible" r:id="rId4"/>
  </sheets>
  <definedNames>
    <definedName name="_xlnm._FilterDatabase" localSheetId="1" hidden="1">'Para lançar'!$A$4:$S$76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5F"/>
      <sz val="13"/>
    </font>
    <font>
      <name val="Arial"/>
      <i val="1"/>
      <color rgb="00595959"/>
      <sz val="9"/>
    </font>
    <font>
      <name val="Arial"/>
      <b val="1"/>
      <color rgb="00FFFFFF"/>
      <sz val="10"/>
    </font>
    <font>
      <name val="Arial"/>
      <sz val="10"/>
    </font>
    <font>
      <name val="Arial"/>
      <b val="1"/>
      <sz val="10"/>
    </font>
  </fonts>
  <fills count="7">
    <fill>
      <patternFill/>
    </fill>
    <fill>
      <patternFill patternType="gray125"/>
    </fill>
    <fill>
      <patternFill patternType="solid">
        <fgColor rgb="001F4E5F"/>
      </patternFill>
    </fill>
    <fill>
      <patternFill patternType="solid">
        <fgColor rgb="00DDEBF7"/>
      </patternFill>
    </fill>
    <fill>
      <patternFill patternType="solid">
        <fgColor rgb="00FFF2CC"/>
      </patternFill>
    </fill>
    <fill>
      <patternFill patternType="solid">
        <fgColor rgb="00FCE4E4"/>
      </patternFill>
    </fill>
    <fill>
      <patternFill patternType="solid">
        <fgColor rgb="00F2F2F2"/>
      </patternFill>
    </fill>
  </fills>
  <borders count="2">
    <border>
      <left/>
      <right/>
      <top/>
      <bottom/>
      <diagonal/>
    </border>
    <border>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4" fillId="0" borderId="0" applyAlignment="1" pivotButton="0" quotePrefix="0" xfId="0">
      <alignment horizontal="right"/>
    </xf>
    <xf numFmtId="0" fontId="4" fillId="0" borderId="0" pivotButton="0" quotePrefix="0" xfId="0"/>
    <xf numFmtId="0" fontId="4" fillId="3" borderId="0" pivotButton="0" quotePrefix="0" xfId="0"/>
    <xf numFmtId="0" fontId="4" fillId="4" borderId="0" pivotButton="0" quotePrefix="0" xfId="0"/>
    <xf numFmtId="0" fontId="4" fillId="6" borderId="0" pivotButton="0" quotePrefix="0" xfId="0"/>
    <xf numFmtId="0" fontId="4" fillId="5" borderId="0" pivotButton="0" quotePrefix="0" xfId="0"/>
    <xf numFmtId="0" fontId="3" fillId="2" borderId="0" applyAlignment="1" pivotButton="0" quotePrefix="0" xfId="0">
      <alignment vertical="center" wrapText="1"/>
    </xf>
    <xf numFmtId="0" fontId="4" fillId="3"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52" customWidth="1" min="1" max="1"/>
    <col width="12" customWidth="1" min="2" max="2"/>
  </cols>
  <sheetData>
    <row r="1">
      <c r="A1" s="1" t="inlineStr">
        <is>
          <t>Resumo do cruzamento</t>
        </is>
      </c>
    </row>
    <row r="2">
      <c r="A2" s="2" t="inlineStr">
        <is>
          <t>Planilha "Necropsias Faltantes 2025" (aba Faltantes)  x  pasta D:\Laudos 2025</t>
        </is>
      </c>
    </row>
    <row r="4">
      <c r="A4" s="3" t="inlineStr">
        <is>
          <t>Protocolos faltando na planilha (total de linhas)</t>
        </is>
      </c>
      <c r="B4" s="4" t="n">
        <v>191</v>
      </c>
    </row>
    <row r="5">
      <c r="A5" s="5" t="inlineStr">
        <is>
          <t>Já lançados no site (marcados em verde)</t>
        </is>
      </c>
      <c r="B5" s="4" t="n">
        <v>119</v>
      </c>
    </row>
    <row r="6">
      <c r="A6" s="3" t="inlineStr">
        <is>
          <t>Ainda NÃO lançados (não verdes)</t>
        </is>
      </c>
      <c r="B6" s="4" t="n">
        <v>72</v>
      </c>
    </row>
    <row r="7">
      <c r="A7" s="5" t="n"/>
      <c r="B7" s="4" t="n"/>
    </row>
    <row r="8">
      <c r="A8" s="3" t="inlineStr">
        <is>
          <t>Arquivos de laudo na pasta "Laudos 2025"</t>
        </is>
      </c>
      <c r="B8" s="4" t="n">
        <v>58</v>
      </c>
    </row>
    <row r="9">
      <c r="A9" s="5" t="inlineStr">
        <is>
          <t xml:space="preserve">    ... que casam com um protocolo não verde</t>
        </is>
      </c>
      <c r="B9" s="4">
        <f>COUNTA('Para lançar'!C5:C76)</f>
        <v/>
      </c>
    </row>
    <row r="10">
      <c r="A10" s="5" t="inlineStr">
        <is>
          <t xml:space="preserve">    ... já registrado no sistema (Vn036-25)</t>
        </is>
      </c>
      <c r="B10" s="4" t="n">
        <v>1</v>
      </c>
    </row>
    <row r="11">
      <c r="A11" s="5" t="n"/>
      <c r="B11" s="4" t="n"/>
    </row>
    <row r="12">
      <c r="A12" s="3" t="inlineStr">
        <is>
          <t>Não verdes COM PDF (laudo fechado, com diagnóstico)</t>
        </is>
      </c>
      <c r="B12" s="4">
        <f>COUNTIF('Para lançar'!B5:B76,"PDF*")</f>
        <v/>
      </c>
    </row>
    <row r="13">
      <c r="A13" s="3" t="inlineStr">
        <is>
          <t>Não verdes COM Word (em aberto, sem diagnóstico)</t>
        </is>
      </c>
      <c r="B13" s="4">
        <f>COUNTIF('Para lançar'!B5:B76,"Word*")</f>
        <v/>
      </c>
    </row>
    <row r="14">
      <c r="A14" s="3" t="inlineStr">
        <is>
          <t>Não verdes SEM nenhum arquivo na pasta</t>
        </is>
      </c>
      <c r="B14" s="4">
        <f>COUNTIF('Para lançar'!B5:B76,"SEM ARQUIVO*")</f>
        <v/>
      </c>
    </row>
    <row r="15">
      <c r="A15" s="5" t="n"/>
      <c r="B15" s="4" t="n"/>
    </row>
    <row r="16">
      <c r="A16" s="3" t="inlineStr">
        <is>
          <t>Linhas com alerta (conferir antes de lançar)</t>
        </is>
      </c>
      <c r="B16" s="4">
        <f>COUNTIF('Para lançar'!S5:S76,"?*")</f>
        <v/>
      </c>
    </row>
    <row r="18">
      <c r="A18" s="3" t="inlineStr">
        <is>
          <t>Legenda das cores da aba "Para lançar":</t>
        </is>
      </c>
    </row>
    <row r="19">
      <c r="A19" s="6" t="inlineStr">
        <is>
          <t>Azul — PDF: laudo fechado, com diagnóstico</t>
        </is>
      </c>
    </row>
    <row r="20">
      <c r="A20" s="7" t="inlineStr">
        <is>
          <t>Amarelo — Word: necropsia em aberto, sem diagnóstico</t>
        </is>
      </c>
    </row>
    <row r="21">
      <c r="A21" s="8" t="inlineStr">
        <is>
          <t>Cinza — protocolo sem nenhum arquivo na pasta</t>
        </is>
      </c>
    </row>
    <row r="22">
      <c r="A22" s="9" t="inlineStr">
        <is>
          <t>Rosa (coluna Alerta) — precisa conferência humana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26" customWidth="1" min="3" max="3"/>
    <col width="16" customWidth="1" min="4" max="4"/>
    <col width="24" customWidth="1" min="5" max="5"/>
    <col width="11" customWidth="1" min="6" max="6"/>
    <col width="14" customWidth="1" min="7" max="7"/>
    <col width="9" customWidth="1" min="8" max="8"/>
    <col width="11" customWidth="1" min="9" max="9"/>
    <col width="26" customWidth="1" min="10" max="10"/>
    <col width="24" customWidth="1" min="11" max="11"/>
    <col width="22" customWidth="1" min="12" max="12"/>
    <col width="10" customWidth="1" min="13" max="13"/>
    <col width="60" customWidth="1" min="14" max="14"/>
    <col width="14" customWidth="1" min="15" max="15"/>
    <col width="30" customWidth="1" min="16" max="16"/>
    <col width="60" customWidth="1" min="17" max="17"/>
    <col width="20" customWidth="1" min="18" max="18"/>
    <col width="50" customWidth="1" min="19" max="19"/>
  </cols>
  <sheetData>
    <row r="1">
      <c r="A1" s="1" t="inlineStr">
        <is>
          <t>Necropsias faltantes x pasta "Laudos 2025"</t>
        </is>
      </c>
    </row>
    <row r="2">
      <c r="A2" s="2" t="inlineStr">
        <is>
          <t>Somente as linhas NÃO verdes da planilha "Necropsias Faltantes 2025" (aba Faltantes). Dados extraídos dos próprios arquivos em D:\Laudos 2025.</t>
        </is>
      </c>
    </row>
    <row r="4" ht="30" customHeight="1">
      <c r="A4" s="10" t="inlineStr">
        <is>
          <t>Protocolo</t>
        </is>
      </c>
      <c r="B4" s="10" t="inlineStr">
        <is>
          <t>Situação</t>
        </is>
      </c>
      <c r="C4" s="10" t="inlineStr">
        <is>
          <t>Arquivo</t>
        </is>
      </c>
      <c r="D4" s="10" t="inlineStr">
        <is>
          <t>Data recebimento</t>
        </is>
      </c>
      <c r="E4" s="10" t="inlineStr">
        <is>
          <t>Nome / ficha clínica</t>
        </is>
      </c>
      <c r="F4" s="10" t="inlineStr">
        <is>
          <t>Espécie</t>
        </is>
      </c>
      <c r="G4" s="10" t="inlineStr">
        <is>
          <t>Raça</t>
        </is>
      </c>
      <c r="H4" s="10" t="inlineStr">
        <is>
          <t>Sexo</t>
        </is>
      </c>
      <c r="I4" s="10" t="inlineStr">
        <is>
          <t>Idade</t>
        </is>
      </c>
      <c r="J4" s="10" t="inlineStr">
        <is>
          <t>Proprietário / tutor</t>
        </is>
      </c>
      <c r="K4" s="10" t="inlineStr">
        <is>
          <t>Requisitante</t>
        </is>
      </c>
      <c r="L4" s="10" t="inlineStr">
        <is>
          <t>Clínica / empresa</t>
        </is>
      </c>
      <c r="M4" s="10" t="inlineStr">
        <is>
          <t>Origem</t>
        </is>
      </c>
      <c r="N4" s="10" t="inlineStr">
        <is>
          <t>Diagnóstico do patologista</t>
        </is>
      </c>
      <c r="O4" s="10" t="inlineStr">
        <is>
          <t>Data de emissão</t>
        </is>
      </c>
      <c r="P4" s="10" t="inlineStr">
        <is>
          <t>Suspeita clínica</t>
        </is>
      </c>
      <c r="Q4" s="10" t="inlineStr">
        <is>
          <t>Histórico clínico</t>
        </is>
      </c>
      <c r="R4" s="10" t="inlineStr">
        <is>
          <t>Período provável (planilha)</t>
        </is>
      </c>
      <c r="S4" s="10" t="inlineStr">
        <is>
          <t>Alerta</t>
        </is>
      </c>
    </row>
    <row r="5">
      <c r="A5" s="11" t="inlineStr">
        <is>
          <t>Vn012-25</t>
        </is>
      </c>
      <c r="B5" s="11" t="inlineStr">
        <is>
          <t>PDF — laudo fechado</t>
        </is>
      </c>
      <c r="C5" s="11" t="inlineStr">
        <is>
          <t>Vn012-25.pdf</t>
        </is>
      </c>
      <c r="D5" s="12" t="inlineStr">
        <is>
          <t>17/03/2025</t>
        </is>
      </c>
      <c r="E5" s="12" t="inlineStr">
        <is>
          <t>Bebê/HVU 126363</t>
        </is>
      </c>
      <c r="F5" s="12" t="inlineStr">
        <is>
          <t>Felino</t>
        </is>
      </c>
      <c r="G5" s="12" t="inlineStr">
        <is>
          <t>SRD</t>
        </is>
      </c>
      <c r="H5" s="12" t="inlineStr">
        <is>
          <t>macho</t>
        </is>
      </c>
      <c r="I5" s="12" t="inlineStr">
        <is>
          <t>15 anos</t>
        </is>
      </c>
      <c r="J5" s="12" t="inlineStr">
        <is>
          <t>Hermínia</t>
        </is>
      </c>
      <c r="K5" s="12" t="inlineStr">
        <is>
          <t>Pedro H. S. Buttelli</t>
        </is>
      </c>
      <c r="L5" s="12" t="inlineStr">
        <is>
          <t>HVU-UFSM</t>
        </is>
      </c>
      <c r="M5" s="12" t="inlineStr">
        <is>
          <t>HVU</t>
        </is>
      </c>
      <c r="N5" s="12" t="inlineStr">
        <is>
          <t>Duodeno, úlcera intestinal rompida. Omento e mesentério, peritonite fibrinossupurativa focalmente extensa acentuada associada a ruptura de úlcera duodenal. Rins, nefrite tubulointersticial linfoplasmocítica crônica acentuada com áreas multifocais de perda do parênquima e fibrose intersticial Pulmão, edema alveolar multifocal acentuado. Cavidade torácica, hidrotórax (transudato mofidicado) moderado.</t>
        </is>
      </c>
      <c r="O5" s="12" t="inlineStr">
        <is>
          <t>22/04/2025</t>
        </is>
      </c>
      <c r="P5" s="12" t="inlineStr">
        <is>
          <t>de SIRS por pancreatite, úlcera gastrointestinal.</t>
        </is>
      </c>
      <c r="Q5" s="12" t="inlineStr">
        <is>
          <t>Apresentou vômitos no domingo passado. Realizada ultrassonografia que constatou pancreatite. Animal ficou dois dias internados no HVU. Repetido hemograma e bioquímicos, além de US na sexta. Melhora considerável do quadro. Recebeu alta do hospital no dia. No sábado piorou e evoluiu para parada cardíaca em clínica privada. No raio X realizado no sábado apresentou edema pulmonar.</t>
        </is>
      </c>
      <c r="R5" s="12" t="inlineStr"/>
      <c r="S5" s="12" t="inlineStr"/>
    </row>
    <row r="6">
      <c r="A6" s="11" t="inlineStr">
        <is>
          <t>Vn013-25</t>
        </is>
      </c>
      <c r="B6" s="11" t="inlineStr">
        <is>
          <t>PDF — laudo fechado</t>
        </is>
      </c>
      <c r="C6" s="11" t="inlineStr">
        <is>
          <t>Vn013-25.pdf</t>
        </is>
      </c>
      <c r="D6" s="12" t="inlineStr">
        <is>
          <t>21/03/2025</t>
        </is>
      </c>
      <c r="E6" s="12" t="inlineStr">
        <is>
          <t>Loba/HVU 127113</t>
        </is>
      </c>
      <c r="F6" s="12" t="inlineStr">
        <is>
          <t>canino</t>
        </is>
      </c>
      <c r="G6" s="12" t="inlineStr">
        <is>
          <t>Collie</t>
        </is>
      </c>
      <c r="H6" s="12" t="inlineStr">
        <is>
          <t>fêmea</t>
        </is>
      </c>
      <c r="I6" s="12" t="inlineStr">
        <is>
          <t>14 anos</t>
        </is>
      </c>
      <c r="J6" s="12" t="inlineStr">
        <is>
          <t>Luciano H.</t>
        </is>
      </c>
      <c r="K6" s="12" t="inlineStr">
        <is>
          <t>João Felipe da Silva Mielke</t>
        </is>
      </c>
      <c r="L6" s="12" t="inlineStr">
        <is>
          <t>HVU-UFSM</t>
        </is>
      </c>
      <c r="M6" s="12" t="inlineStr">
        <is>
          <t>HVU</t>
        </is>
      </c>
      <c r="N6" s="12" t="inlineStr">
        <is>
          <t>Rins, nefrite túbulo intersticial crônica com fibrose intersticial multifocal moderada e degeneração tubular e esclerose glomerular e glomerulonefrite membranosa segmentar moderada Baço, infartos multifocais moderados associados a trombose. Valvas mitral e tricúspide, endocardiose multifocal leve.</t>
        </is>
      </c>
      <c r="O6" s="12" t="inlineStr">
        <is>
          <t>18/06/2025</t>
        </is>
      </c>
      <c r="P6" s="12" t="inlineStr"/>
      <c r="Q6" s="12" t="inlineStr">
        <is>
          <t>paciente atendido inicialmente pela clínica médica que revelou infartos renais no exame de US, tromboembolismo esplênico com áreas necróticas, coágulo em bexiga. Exames de sangue evidenciaram creatinina e ureia muito elevadas (acima da referência). Equipe de neuro (SNNV) evidenciou monoplegia em membro pélvico direito, com monoparesia em membro pélvico esquerdo, déficit proprioceptivo em MPs. Possui teste rápido para cinomose positivo e PCR negativo, mesmo com terapia (fluidoterapia) não houve melhora nos exames hematológicos havendo piora clínica e anorexia. Suspeita-se que há massa/compressão medular lombossacra (neoplasia medular), além de lesões renais e esplênicas.</t>
        </is>
      </c>
      <c r="R6" s="12" t="inlineStr"/>
      <c r="S6" s="12" t="inlineStr"/>
    </row>
    <row r="7">
      <c r="A7" s="11" t="inlineStr">
        <is>
          <t>Vn014-25</t>
        </is>
      </c>
      <c r="B7" s="11" t="inlineStr">
        <is>
          <t>PDF — laudo fechado</t>
        </is>
      </c>
      <c r="C7" s="11" t="inlineStr">
        <is>
          <t>Vn014-25.pdf</t>
        </is>
      </c>
      <c r="D7" s="12" t="inlineStr">
        <is>
          <t>21/03/2025</t>
        </is>
      </c>
      <c r="E7" s="12" t="inlineStr">
        <is>
          <t>Não informado</t>
        </is>
      </c>
      <c r="F7" s="12" t="inlineStr">
        <is>
          <t>bovino</t>
        </is>
      </c>
      <c r="G7" s="12" t="inlineStr">
        <is>
          <t>Angus</t>
        </is>
      </c>
      <c r="H7" s="12" t="inlineStr">
        <is>
          <t>fêmea</t>
        </is>
      </c>
      <c r="I7" s="12" t="inlineStr">
        <is>
          <t>3-4 meses</t>
        </is>
      </c>
      <c r="J7" s="12" t="inlineStr">
        <is>
          <t>não informado</t>
        </is>
      </c>
      <c r="K7" s="12" t="inlineStr">
        <is>
          <t>Calvin H. Flores</t>
        </is>
      </c>
      <c r="L7" s="12" t="inlineStr">
        <is>
          <t>Calvin Flores Serviços Veterinários</t>
        </is>
      </c>
      <c r="M7" s="12" t="inlineStr">
        <is>
          <t>Externo</t>
        </is>
      </c>
      <c r="N7" s="12" t="inlineStr">
        <is>
          <t>Plano nasal, dermatite ulcerativa fibrinossupurativa e linfocítica multifocal acentuada com necrose fibrinoide da parede vascular multifocal acentuada. Cavidade oral, estomatite ulcerativa fibrinossupurativa e linfocítica multifocal acentuada com necrose fibrinoide da parede vascular multifocal acentuada e atrofia multifocal leve das papilas cônicas. Esôfago, esofagite ulcerativa fibrinossupurativa e linfocítica multifocal acentuada com necrose fibrinoide da parede vascular multifocal acentuada. Rúmen, rumenite ulcerativa fibrinossupurativa e linfocítica multifocal acentuada com necrose fibrinoide da parede vascular multifocal acentuada. Retículo, reticulite ulcerativa fibrinossupurativa e linfocítica multifocal acentuada com necrose fibrinoide da parede vascular multifocal acentuada. Omaso, omasite ulcerativa fibrinossupurativa e linfocítica multifocal acentuada com necrose fibrinoide da parede vascular multifocal acentuada. Abomaso, abomasite ulcerativa fibrinossupurativa e linfocítica multifocal acentuada com necrose fibrinoide da parede vascular multifocal acentuada. Intestino delgado, enterite ulcerativa fibrinossupurativa e linfocítica multifocal acentuada com necrose fibrinoide da parede vascular multifocal acentuada. Cornetos nasais, rinite fibrinonecrossupurativa com ulceração do epitélio respiratório e necrose fibrinoide da parede vascular multifocal acentuada.. Pulmão, pneumonia intersticial linfocítica difusa acentuada com edema alveolar e exsudação de fibrina intra- alveolar e necrose fibrinoide da parede vascular multifocal acentuada. Fígado, hepatite linfoplasmocítica multifocal moderada com necrose fibrinoide da parede vascular multifocal moderada. Vesícula urinária, cistite fibrinonecrótica e linfocítica multifocal acentuada com necrose fibrinoide da parede vascular multifocal acentuada. Encéfalo, meningoencefalite linfoplasmohistiocítica multifocal acentuada com vasculite linfocítica multifocal moderada e malácia subaguda em seções de tálamo. Rete mirabile (rede admirável), necrose fibrinoide da parede vascular segmentar a global multifocal moderada com trombose multifocal leve e perivasculite linfocítica multifocal leve. Hipófise, infarto agudo focalmente extenso. Rim, nefrite linfoplasmocítica intersticial multifocal acentuada, com degeneração e necrose tubular, substituição de glomérulos e túbulos, necrose fibrinoide da parede vascular, perivasculite linfocítica e infarto cortical focalmente extenso. Globo ocular (bilateral), ceratoconjuntivite ulcerativa subaguda multifocal acentuada com neovascularização e edema de córnea. Globo ocular (bilateral), uveíte anterior e esclerite fibrinossupurativa multifocal leve a moderada com necrose fibrinoide da parede vascular e congestão difusa acentuada da esclera.</t>
        </is>
      </c>
      <c r="O7" s="12" t="inlineStr">
        <is>
          <t>18/06/2025</t>
        </is>
      </c>
      <c r="P7" s="12" t="inlineStr">
        <is>
          <t>suspeita clínica inicial de tristeza parasitária</t>
        </is>
      </c>
      <c r="Q7" s="12" t="inlineStr">
        <is>
          <t>Suspeita inicial de tristeza, não respondeu ao tratamento, ficou cega, com corrimento nasal e febre, aproximadamente 10 dias de evolução clínica. Foi submetida a eutanásia hoje. A mãe está bem. Há ovelhas na propriedade.</t>
        </is>
      </c>
      <c r="R7" s="12" t="inlineStr"/>
      <c r="S7" s="12" t="inlineStr"/>
    </row>
    <row r="8">
      <c r="A8" s="13" t="inlineStr">
        <is>
          <t>Vn015-25</t>
        </is>
      </c>
      <c r="B8" s="13" t="inlineStr">
        <is>
          <t>Word — em aberto</t>
        </is>
      </c>
      <c r="C8" s="13" t="inlineStr">
        <is>
          <t>Vn015-25.docx</t>
        </is>
      </c>
      <c r="D8" s="12" t="inlineStr">
        <is>
          <t>24/03/2025</t>
        </is>
      </c>
      <c r="E8" s="12" t="inlineStr">
        <is>
          <t>RG-HVU 124.693</t>
        </is>
      </c>
      <c r="F8" s="12" t="inlineStr">
        <is>
          <t>canina</t>
        </is>
      </c>
      <c r="G8" s="12" t="inlineStr">
        <is>
          <t>Boxer</t>
        </is>
      </c>
      <c r="H8" s="12" t="inlineStr">
        <is>
          <t>fêmea</t>
        </is>
      </c>
      <c r="I8" s="12" t="inlineStr">
        <is>
          <t>7 anos</t>
        </is>
      </c>
      <c r="J8" s="12" t="inlineStr">
        <is>
          <t>Maria Rita Pozzobon Xisto</t>
        </is>
      </c>
      <c r="K8" s="12" t="inlineStr">
        <is>
          <t>Dra. Paula Basso</t>
        </is>
      </c>
      <c r="L8" s="12" t="inlineStr">
        <is>
          <t>HVU-UFSM</t>
        </is>
      </c>
      <c r="M8" s="12" t="inlineStr">
        <is>
          <t>HVU</t>
        </is>
      </c>
      <c r="N8" s="12" t="inlineStr"/>
      <c r="O8" s="12" t="inlineStr">
        <is>
          <t>em andamento</t>
        </is>
      </c>
      <c r="P8" s="12" t="inlineStr">
        <is>
          <t>não informado</t>
        </is>
      </c>
      <c r="Q8" s="12" t="inlineStr">
        <is>
          <t>segundo o remetente, paciente foi atendido no HVU em julho de 2024 apresentando ascite e efusão pericárdica. No ecocardiograma a imagem era compatível com neoformação na base cardíaca. Foi iniciado tratamento com benazepil, espinonolactona, pirobendan e houve estabilização clínica. Hoje retornou porque não se alimentava há uma semana e perdeu peso. Ao raio-x ficou evidente imagem de pneumotórax e efusão pleural no lado esquerdo. Foi drenado 1,5 l de líquido pleural e o pneumotórax continuava produtivo. Tutor optou por eutanásia.</t>
        </is>
      </c>
      <c r="R8" s="12" t="inlineStr"/>
      <c r="S8" s="12" t="inlineStr"/>
    </row>
    <row r="9">
      <c r="A9" s="11" t="inlineStr">
        <is>
          <t>Vn016-25</t>
        </is>
      </c>
      <c r="B9" s="11" t="inlineStr">
        <is>
          <t>PDF — laudo fechado</t>
        </is>
      </c>
      <c r="C9" s="11" t="inlineStr">
        <is>
          <t>Vn016-25.pdf</t>
        </is>
      </c>
      <c r="D9" s="12" t="inlineStr">
        <is>
          <t>01/04/2025</t>
        </is>
      </c>
      <c r="E9" s="12" t="inlineStr">
        <is>
          <t>123126</t>
        </is>
      </c>
      <c r="F9" s="12" t="inlineStr"/>
      <c r="G9" s="12" t="inlineStr">
        <is>
          <t>SRD</t>
        </is>
      </c>
      <c r="H9" s="12" t="inlineStr">
        <is>
          <t>fêmea</t>
        </is>
      </c>
      <c r="I9" s="12" t="inlineStr">
        <is>
          <t>6 anos</t>
        </is>
      </c>
      <c r="J9" s="12" t="inlineStr">
        <is>
          <t>Claudete Medeiros Pascue</t>
        </is>
      </c>
      <c r="K9" s="12" t="inlineStr">
        <is>
          <t>Dra. Natacha Mamede Lisboa</t>
        </is>
      </c>
      <c r="L9" s="12" t="inlineStr">
        <is>
          <t>HVU-UFSM</t>
        </is>
      </c>
      <c r="M9" s="12" t="inlineStr">
        <is>
          <t>HVU</t>
        </is>
      </c>
      <c r="N9" s="12" t="inlineStr">
        <is>
          <t>Estômago, adenocarcinoma gástrico Linfonodo, metástase de carcinoma gástrico</t>
        </is>
      </c>
      <c r="O9" s="12" t="inlineStr">
        <is>
          <t>20/08/2025</t>
        </is>
      </c>
      <c r="P9" s="12" t="inlineStr">
        <is>
          <t>não consta</t>
        </is>
      </c>
      <c r="Q9" s="12" t="inlineStr">
        <is>
          <t>segundo o remetente, paciente com lesão em pina e em região de incisivos. Amostras das orelhas em citopatologia foram sugestivas de epitélio sem alteração, enquanto que a amostra do lábio foi sugestiva de CCE. Foi realizada mandibulectomia rostral bilateral em novembro de 2024. Em março de 2025 a paciente retornou com dificuldade de deglutição e aumento de volume submandibular. Em exame citopatológico a amostra foi sugestiva de neoplasia epitelial maligna, sendo necessário histopatológico para diagnóstico definitivo.</t>
        </is>
      </c>
      <c r="R9" s="12" t="inlineStr"/>
      <c r="S9" s="14" t="inlineStr">
        <is>
          <t>Campo "Especie" em branco no proprio laudo.</t>
        </is>
      </c>
    </row>
    <row r="10">
      <c r="A10" s="11" t="inlineStr">
        <is>
          <t>Vn017-25</t>
        </is>
      </c>
      <c r="B10" s="11" t="inlineStr">
        <is>
          <t>PDF — laudo fechado</t>
        </is>
      </c>
      <c r="C10" s="11" t="inlineStr">
        <is>
          <t>Vn017-25.pdf</t>
        </is>
      </c>
      <c r="D10" s="12" t="inlineStr">
        <is>
          <t>04/04/2025</t>
        </is>
      </c>
      <c r="E10" s="12" t="inlineStr">
        <is>
          <t>“127219”</t>
        </is>
      </c>
      <c r="F10" s="12" t="inlineStr">
        <is>
          <t>ovina</t>
        </is>
      </c>
      <c r="G10" s="12" t="inlineStr">
        <is>
          <t>Texel</t>
        </is>
      </c>
      <c r="H10" s="12" t="inlineStr">
        <is>
          <t>fêmea</t>
        </is>
      </c>
      <c r="I10" s="12" t="inlineStr">
        <is>
          <t>2 anos</t>
        </is>
      </c>
      <c r="J10" s="12" t="inlineStr">
        <is>
          <t>Cassiano Calegari</t>
        </is>
      </c>
      <c r="K10" s="12" t="inlineStr">
        <is>
          <t>Dra. Isadora Born-CRMV 23576</t>
        </is>
      </c>
      <c r="L10" s="12" t="inlineStr">
        <is>
          <t>Clínica de Ruminantes-HVU/UFSM</t>
        </is>
      </c>
      <c r="M10" s="12" t="inlineStr">
        <is>
          <t>HVU</t>
        </is>
      </c>
      <c r="N10" s="12" t="inlineStr">
        <is>
          <t>Cavidade nasal, adenoma (sugestivo de tumor nasal enzoótico). Intestino, Oesophagostomum sp. Abomaso, Ostertargia sp. Cavidade abdominal (mesentério e omento), Cysticercus tenuicollis.</t>
        </is>
      </c>
      <c r="O10" s="12" t="inlineStr">
        <is>
          <t>22/04/2025</t>
        </is>
      </c>
      <c r="P10" s="12" t="inlineStr">
        <is>
          <t>não informado</t>
        </is>
      </c>
      <c r="Q10" s="12" t="inlineStr">
        <is>
          <t>Animal chegou com grave dispneia e corrimento nasal mucoso, foi realizada traqueostomia e posteriormente foram observados sinais de pneumonia, com ausculta alternada (sibilo e ruídos inspiratórios e expiratórios), secreção nasal abundante e presença de pólipos em cavidade nasal (endoscopia). Histórico anterior: 30 dias perdendo peso, vermifugação.</t>
        </is>
      </c>
      <c r="R10" s="12" t="inlineStr"/>
      <c r="S10" s="12" t="inlineStr"/>
    </row>
    <row r="11">
      <c r="A11" s="11" t="inlineStr">
        <is>
          <t>Vn018-25</t>
        </is>
      </c>
      <c r="B11" s="11" t="inlineStr">
        <is>
          <t>PDF — laudo fechado</t>
        </is>
      </c>
      <c r="C11" s="11" t="inlineStr">
        <is>
          <t>Vn018-25.pdf</t>
        </is>
      </c>
      <c r="D11" s="12" t="inlineStr">
        <is>
          <t>04/04/2025</t>
        </is>
      </c>
      <c r="E11" s="12" t="inlineStr">
        <is>
          <t>“127118”</t>
        </is>
      </c>
      <c r="F11" s="12" t="inlineStr">
        <is>
          <t>canina</t>
        </is>
      </c>
      <c r="G11" s="12" t="inlineStr">
        <is>
          <t>Cocker spaniel inglês</t>
        </is>
      </c>
      <c r="H11" s="12" t="inlineStr">
        <is>
          <t>fêmea</t>
        </is>
      </c>
      <c r="I11" s="12" t="inlineStr">
        <is>
          <t>12 anos</t>
        </is>
      </c>
      <c r="J11" s="12" t="inlineStr">
        <is>
          <t>Ivania Nawasczynski Candana</t>
        </is>
      </c>
      <c r="K11" s="12" t="inlineStr">
        <is>
          <t>Dra. Amanda Miwa T. Sekita (CRMV</t>
        </is>
      </c>
      <c r="L11" s="12" t="inlineStr">
        <is>
          <t>Serviço de neurologia- HVU/UFSM</t>
        </is>
      </c>
      <c r="M11" s="12" t="inlineStr">
        <is>
          <t>HVU</t>
        </is>
      </c>
      <c r="N11" s="12" t="inlineStr">
        <is>
          <t>Fígado, colangiocarcinoma focal com invasão vascular e êmbolos neoplásicos intravasculares. Pulmão, metástase multifocal de colangiocarcinoma. Adrenal direita, metástase multifocal de colangiocarcinoma. Encéfalo (mesencéfalo, córtex occipital), metástase multifocal de colangiocarcinoma. Rim, glomerulonefrite membranosa global crônica multifocal moderada. Pâncreas, nódulos de hiperplasia multifocais.</t>
        </is>
      </c>
      <c r="O11" s="12" t="inlineStr">
        <is>
          <t>16/07/2025</t>
        </is>
      </c>
      <c r="P11" s="12" t="inlineStr">
        <is>
          <t>não informado.</t>
        </is>
      </c>
      <c r="Q11" s="12" t="inlineStr">
        <is>
          <t>dia 03 de março começou a apresentar crises epilépticas. No exame neurológico apresentou reação ameaça negativa no lado esquerdo. Realizado ultrassom e raio-x de tórax para pesquisa por metástase, onde foi encontrado uma massa no pulmão. Encaminhado para ressonância magnética, que mostrou neoplasia em tálamo-córtex direito e alteração em hipófise. Foi internada no dia 03/04 pois estava sem se alimentar há 2 dias, vocalizando e não respondia mais aos chamados dos tutores. Teve uma parada cardiorrespiratória no dia 03/04 às 17:30.</t>
        </is>
      </c>
      <c r="R11" s="12" t="inlineStr"/>
      <c r="S11" s="12" t="inlineStr"/>
    </row>
    <row r="12">
      <c r="A12" s="13" t="inlineStr">
        <is>
          <t>Vn020-25</t>
        </is>
      </c>
      <c r="B12" s="13" t="inlineStr">
        <is>
          <t>Word — em aberto</t>
        </is>
      </c>
      <c r="C12" s="13" t="inlineStr">
        <is>
          <t>Vn020-25.docx</t>
        </is>
      </c>
      <c r="D12" s="12" t="inlineStr">
        <is>
          <t>11/04/2025</t>
        </is>
      </c>
      <c r="E12" s="12" t="inlineStr">
        <is>
          <t>“Tirziiy” (RG:127480)</t>
        </is>
      </c>
      <c r="F12" s="12" t="inlineStr">
        <is>
          <t>canina</t>
        </is>
      </c>
      <c r="G12" s="12" t="inlineStr">
        <is>
          <t>Yorkshire Terrier</t>
        </is>
      </c>
      <c r="H12" s="12" t="inlineStr">
        <is>
          <t>fêmea</t>
        </is>
      </c>
      <c r="I12" s="12" t="inlineStr">
        <is>
          <t>12 anos</t>
        </is>
      </c>
      <c r="J12" s="12" t="inlineStr">
        <is>
          <t>Wlademir Carvalho</t>
        </is>
      </c>
      <c r="K12" s="12" t="inlineStr">
        <is>
          <t>Dra. Priscila Domingues (CRMV-RS 9793)</t>
        </is>
      </c>
      <c r="L12" s="12" t="inlineStr">
        <is>
          <t>HVU-UFSM</t>
        </is>
      </c>
      <c r="M12" s="12" t="inlineStr">
        <is>
          <t>HVU</t>
        </is>
      </c>
      <c r="N12" s="12" t="inlineStr"/>
      <c r="O12" s="12" t="inlineStr"/>
      <c r="P12" s="12" t="inlineStr">
        <is>
          <t>não informado.</t>
        </is>
      </c>
      <c r="Q12" s="12" t="inlineStr">
        <is>
          <t>segundo o remetente, até o dia anterior o paciente estava normal, mas quando tutor chegou em casa estava urinada e retorcida. Nega vômito e diarreia. Na consulta constatou-se hipoglicemia. Ficou internada e recebeu transfusão sanguínea pois estava anêmica. No outro dia após a transfusão ficou ictérica. Em laparotomia exploratória observou alteração sugestiva de neoplasia em duodeno e pâncreas. Tutor optou pela eutanásia.</t>
        </is>
      </c>
      <c r="R12" s="12" t="inlineStr"/>
      <c r="S12" s="12" t="inlineStr"/>
    </row>
    <row r="13">
      <c r="A13" s="11" t="inlineStr">
        <is>
          <t>Vn022-25</t>
        </is>
      </c>
      <c r="B13" s="11" t="inlineStr">
        <is>
          <t>PDF — laudo fechado</t>
        </is>
      </c>
      <c r="C13" s="11" t="inlineStr">
        <is>
          <t>Vn022-25.pdf</t>
        </is>
      </c>
      <c r="D13" s="12" t="inlineStr">
        <is>
          <t>11/04/2025</t>
        </is>
      </c>
      <c r="E13" s="12" t="inlineStr">
        <is>
          <t>“127230”</t>
        </is>
      </c>
      <c r="F13" s="12" t="inlineStr">
        <is>
          <t>felina</t>
        </is>
      </c>
      <c r="G13" s="12" t="inlineStr">
        <is>
          <t>SRD</t>
        </is>
      </c>
      <c r="H13" s="12" t="inlineStr">
        <is>
          <t>fêmea</t>
        </is>
      </c>
      <c r="I13" s="12" t="inlineStr">
        <is>
          <t>2 anos e 10 meses</t>
        </is>
      </c>
      <c r="J13" s="12" t="inlineStr">
        <is>
          <t>Bruno Della Flora</t>
        </is>
      </c>
      <c r="K13" s="12" t="inlineStr">
        <is>
          <t>Natália Cristina Schumadrer (CRMV</t>
        </is>
      </c>
      <c r="L13" s="12" t="inlineStr">
        <is>
          <t>HVU-UFSM</t>
        </is>
      </c>
      <c r="M13" s="12" t="inlineStr">
        <is>
          <t>HVU</t>
        </is>
      </c>
      <c r="N13" s="12" t="inlineStr">
        <is>
          <t>Maxila (lado direito), osteossarcoma condroblástico com invasão de osso zigomático. Globo ocular esquerdo, ceratite ulcerativa crônica difusa acentuada secundária a exoftalmia. Fígado, lipidose microvacuolar difusa moderada</t>
        </is>
      </c>
      <c r="O13" s="12" t="inlineStr">
        <is>
          <t>16/07/2025</t>
        </is>
      </c>
      <c r="P13" s="12" t="inlineStr">
        <is>
          <t>condrossarcoma</t>
        </is>
      </c>
      <c r="Q13" s="12" t="inlineStr">
        <is>
          <t>segundo remetente, em consulta realizada em 24/03/2025, tutor relatou aumento de volume em mandíbula/maxila com evolução de 1 mês. Relata secreção translúcida (serosa em boca e olho), consistência dura, RX de crânio evidenciou lise entre osso zigomático e maxilar direito (fratura incompleta); aumento de volume em tecidos moles, aspecto heterogêneo, atingindo articulação temporomandibular, sem metástase pulmonar. Realizado biópsia superficial no dia 01/04/2025, resultado de condrossarcoma (preliminar). Indicação de biópsia de tecido completo para melhor confirmação diagnóstica.</t>
        </is>
      </c>
      <c r="R13" s="12" t="inlineStr"/>
      <c r="S13" s="12" t="inlineStr"/>
    </row>
    <row r="14">
      <c r="A14" s="11" t="inlineStr">
        <is>
          <t>Vn023-25</t>
        </is>
      </c>
      <c r="B14" s="11" t="inlineStr">
        <is>
          <t>PDF — laudo fechado</t>
        </is>
      </c>
      <c r="C14" s="11" t="inlineStr">
        <is>
          <t>Vn023-25.pdf</t>
        </is>
      </c>
      <c r="D14" s="12" t="inlineStr">
        <is>
          <t>12/04/2025</t>
        </is>
      </c>
      <c r="E14" s="12" t="inlineStr">
        <is>
          <t>Bravas/RG-HVU127773</t>
        </is>
      </c>
      <c r="F14" s="12" t="inlineStr">
        <is>
          <t>Equino</t>
        </is>
      </c>
      <c r="G14" s="12" t="inlineStr">
        <is>
          <t>PSI</t>
        </is>
      </c>
      <c r="H14" s="12" t="inlineStr">
        <is>
          <t>macho</t>
        </is>
      </c>
      <c r="I14" s="12" t="inlineStr">
        <is>
          <t>8 anos e 6 meses</t>
        </is>
      </c>
      <c r="J14" s="12" t="inlineStr">
        <is>
          <t>Stud Eternamente Rio</t>
        </is>
      </c>
      <c r="K14" s="12" t="inlineStr">
        <is>
          <t>Prof. Flávio Desessards De La Côrte</t>
        </is>
      </c>
      <c r="L14" s="12" t="inlineStr">
        <is>
          <t>HVU-UFSM</t>
        </is>
      </c>
      <c r="M14" s="12" t="inlineStr">
        <is>
          <t>HVU</t>
        </is>
      </c>
      <c r="N14" s="12" t="inlineStr">
        <is>
          <t>Cólon dorsal direito, impactação difusa acentuada com área de ruptura transmural. Cólon dorsal direito, deslocamento ventral. Fígado, coração e encéfalo, congestão difusa moderada. Rim e pulmão, congestão difusa acentuada.</t>
        </is>
      </c>
      <c r="O14" s="12" t="inlineStr">
        <is>
          <t>29/05/2025</t>
        </is>
      </c>
      <c r="P14" s="12" t="inlineStr">
        <is>
          <t>deslocamento do cólon maior e compactação de cólon dorsal direito</t>
        </is>
      </c>
      <c r="Q14" s="12" t="inlineStr">
        <is>
          <t>segundo o remetente, “Com histórico de ter apresentado quadro de compactação intestinal a 28 dias, a mesma foi tratada no HVU, se resolvendo clinicamente com hidratação e analgesia. No dia 10 de abril, às 16 horas apresentou quadro de desconforto na propriedade, sendo tratada com analgesia e hidratação (16 litros). Apresentou melhora, ficando em observação. Às 5 horas do dia 11 de abril, nova crise de desconforto abdominal, que motivou encaminhamento ao Hospital Veterinário da Universidade Federal de Santa Maria (HVU-UFSM). Na chegada, por volta de 11 horas, parâmetros alterados (FC56, FR68, TPC 3, T 37,7ºC e hipomotilidade nos quadrantes superior e inferior direito). Em sondagem nasogástrica, realizada com uso de sedação (xilazina associada a butorfanol) sem presença de conteúdo. Ao exame ultrassonográfico, abdômen ventral sem presença de líquido livre, sem espessamento de parede de intestino delgado. Na janela duodenal presença de um pouco de líquido. Demais janelas sem alterações. Na palpação transretal, presença de fezes ressecadas na ampola retal e presença de compactação na flexura pélvica. Em paracentese, presença de líquido peritoneal com 1,4 g/Dl de proteína, além de citologia composta por células inflamatórias, sendo 63% neutrófilos íntegros, 31% macrófagos e 6% linfócitos pequenos. Instituída terapia com uso de flunixin, dipirona, fluidoterapia com lidocaína e sedacol. Equino respondeu bem a terapia instituída, melhorando parâmetros e sem sinais de desconforto. Às 18 horas, apresentou elevação de FC (44 bpm), além de alguns episódios isolados de desconforto. Em nova avaliação, US sem alteração quando comparado ao exame anterior, palpação transretal com discreta presença de menor espaço. Realizada nova aplicação de flunixin e xilazina intramuscular para auxiliar na analgesia (por volta das 19:30), além da continuação da fluidoterapia com lidocaína. Na cocheira, equino apresentava alguns episódios de tentativas de rolar quando deitado, e quando em pé, escavava, mantendo FC 40 bpm. Como o quadro não foi responsivo a analgesia, foi encaminhado ao bloco cirúrgico, para celiotomia exploratória. Após acesso à cavidade, foi identificada um deslocamento do cólon maior e extensa compactação de colón dorsal direito. Realizada enterotomia para evacuar conteúdo do cólon, sendo aos poucos, gentilmente, realizada a descompactação. Durante o processo, em um segmento do cólon ventral direito que já apresentava sofrimento de parede, houve ruptura completa, havendo extravasamento de conteúdo intestinal para a cavidade. Tendo em vista o prognostico desfavorável, foi autorizada pelo proprietário a eutanásia do animal, por motivos humanitários”.</t>
        </is>
      </c>
      <c r="R14" s="12" t="inlineStr"/>
      <c r="S14" s="12" t="inlineStr"/>
    </row>
    <row r="15">
      <c r="A15" s="11" t="inlineStr">
        <is>
          <t>Vn024-25</t>
        </is>
      </c>
      <c r="B15" s="11" t="inlineStr">
        <is>
          <t>PDF — laudo fechado</t>
        </is>
      </c>
      <c r="C15" s="11" t="inlineStr">
        <is>
          <t>Vn024-25.pdf</t>
        </is>
      </c>
      <c r="D15" s="12" t="inlineStr">
        <is>
          <t>14/04/2025</t>
        </is>
      </c>
      <c r="E15" s="12" t="inlineStr">
        <is>
          <t>Elvis/Rg-Hvu 123.998</t>
        </is>
      </c>
      <c r="F15" s="12" t="inlineStr">
        <is>
          <t>Canino</t>
        </is>
      </c>
      <c r="G15" s="12" t="inlineStr">
        <is>
          <t>SRD</t>
        </is>
      </c>
      <c r="H15" s="12" t="inlineStr">
        <is>
          <t>macho</t>
        </is>
      </c>
      <c r="I15" s="12" t="inlineStr">
        <is>
          <t>10 anos</t>
        </is>
      </c>
      <c r="J15" s="12" t="inlineStr">
        <is>
          <t>Álvaro Costa Caetano</t>
        </is>
      </c>
      <c r="K15" s="12" t="inlineStr">
        <is>
          <t>Natacha Mamede Lisboa (CRMV-RS</t>
        </is>
      </c>
      <c r="L15" s="12" t="inlineStr">
        <is>
          <t>HVU-UFSM</t>
        </is>
      </c>
      <c r="M15" s="12" t="inlineStr">
        <is>
          <t>HVU</t>
        </is>
      </c>
      <c r="N15" s="12" t="inlineStr">
        <is>
          <t>Pulmão, adenocarcinoma pulmonar acinar. Cavidade torácica, hidrotórax (transudato modificado) moderado. Músculo intercostal, coração, esôfago, linfonodos mediastínicos, adrenais, cerebelo e córtex parietal, metástase de adenocarcinoma pulmonar acinar. Vesícula urinária, cistite folicular. Próstata, prostatite supurativa multifocal leve e hiperplasia cística multifocal leve. Pele (nódulo região ventral do tórax), hemangioma cavernoso.</t>
        </is>
      </c>
      <c r="O15" s="12" t="inlineStr">
        <is>
          <t>18/06/2025</t>
        </is>
      </c>
      <c r="P15" s="12" t="inlineStr"/>
      <c r="Q15" s="12" t="inlineStr">
        <is>
          <t>Paciente com carcinoma pulmonar primário, conforme achados na análise da efusão pleural. Na primeira vinda ao HVU em junho de 2024, apresentava área arredondada focal em lobo caudal esquerdo sem alterações clínicas. Retornou para o HVU com respiração restritiva em novembro de 2024, com achados radiográficos sugestivos de comprometimento de lobos cranial e caudal pela neoformação, além de efusão pleural e pericárdica. Paciente teve 2 paradas cardiorrespiratórias, em que na primeira houve rompimento do pericárdio.</t>
        </is>
      </c>
      <c r="R15" s="12" t="inlineStr"/>
      <c r="S15" s="12" t="inlineStr"/>
    </row>
    <row r="16">
      <c r="A16" s="11" t="inlineStr">
        <is>
          <t>Vn025-25</t>
        </is>
      </c>
      <c r="B16" s="11" t="inlineStr">
        <is>
          <t>PDF — laudo fechado</t>
        </is>
      </c>
      <c r="C16" s="11" t="inlineStr">
        <is>
          <t>Vn025-25.pdf</t>
        </is>
      </c>
      <c r="D16" s="12" t="inlineStr">
        <is>
          <t>16/04/2025</t>
        </is>
      </c>
      <c r="E16" s="12" t="inlineStr">
        <is>
          <t>Isis</t>
        </is>
      </c>
      <c r="F16" s="12" t="inlineStr">
        <is>
          <t>felina</t>
        </is>
      </c>
      <c r="G16" s="12" t="inlineStr">
        <is>
          <t>SRD</t>
        </is>
      </c>
      <c r="H16" s="12" t="inlineStr">
        <is>
          <t>fêmea</t>
        </is>
      </c>
      <c r="I16" s="12" t="inlineStr">
        <is>
          <t>2 meses</t>
        </is>
      </c>
      <c r="J16" s="12" t="inlineStr">
        <is>
          <t>Letícia de Freitas</t>
        </is>
      </c>
      <c r="K16" s="12" t="inlineStr">
        <is>
          <t>Vinícius Teixeira Thomasi</t>
        </is>
      </c>
      <c r="L16" s="12" t="inlineStr">
        <is>
          <t>Cia dos Bichos</t>
        </is>
      </c>
      <c r="M16" s="12" t="inlineStr">
        <is>
          <t>Externo</t>
        </is>
      </c>
      <c r="N16" s="12" t="inlineStr">
        <is>
          <t>Baço, eritrofagocitose multifocal moderada, com congestão e trombos intravasculares multifocais moderados Fígado, eritrofagocitose multifocal leve com hipertrofia das células de Kupffer multifocal moderada e leucocitoestase multifocal moderada Pulmão, leucocitoestase multifocal acentuada.</t>
        </is>
      </c>
      <c r="O16" s="12" t="inlineStr">
        <is>
          <t>06/05/2025</t>
        </is>
      </c>
      <c r="P16" s="12" t="inlineStr">
        <is>
          <t>peritonite infecciosa felina</t>
        </is>
      </c>
      <c r="Q16" s="12" t="inlineStr">
        <is>
          <t>segundo o remetente “animal ictérico, mucosas pálidas. Veio a óbito minutos após a chegada na clínica. Suspeita de PIF, morte súbita, urina forte alaranjada, 1 dia antes de morrer parou de comer, urinava bastante, ramela vermelha, não testou fiv e felv. Outro gato mal, querem saber se é algo contagioso”.</t>
        </is>
      </c>
      <c r="R16" s="12" t="inlineStr"/>
      <c r="S16" s="12" t="inlineStr"/>
    </row>
    <row r="17">
      <c r="A17" s="11" t="inlineStr">
        <is>
          <t>Vn026-25</t>
        </is>
      </c>
      <c r="B17" s="11" t="inlineStr">
        <is>
          <t>PDF — laudo fechado</t>
        </is>
      </c>
      <c r="C17" s="11" t="inlineStr">
        <is>
          <t>Vn026-25.pdf</t>
        </is>
      </c>
      <c r="D17" s="12" t="inlineStr">
        <is>
          <t>27/03/25</t>
        </is>
      </c>
      <c r="E17" s="12" t="inlineStr">
        <is>
          <t>Romeu</t>
        </is>
      </c>
      <c r="F17" s="12" t="inlineStr">
        <is>
          <t>felino</t>
        </is>
      </c>
      <c r="G17" s="12" t="inlineStr">
        <is>
          <t>Maine Coon</t>
        </is>
      </c>
      <c r="H17" s="12" t="inlineStr">
        <is>
          <t>macho</t>
        </is>
      </c>
      <c r="I17" s="12" t="inlineStr">
        <is>
          <t>9 meses</t>
        </is>
      </c>
      <c r="J17" s="12" t="inlineStr">
        <is>
          <t>Bruna dos Santos</t>
        </is>
      </c>
      <c r="K17" s="12" t="inlineStr">
        <is>
          <t>Renata Perufo CRMV 11652</t>
        </is>
      </c>
      <c r="L17" s="12" t="inlineStr">
        <is>
          <t>Clínica Veterinária Felinne</t>
        </is>
      </c>
      <c r="M17" s="12" t="inlineStr">
        <is>
          <t>Externo</t>
        </is>
      </c>
      <c r="N17" s="12" t="inlineStr">
        <is>
          <t>Cavidade torácica, pleurite fibrinossupurativa subaguda difusa acentuada com com piotórax e pneumonia fibrinonecrossupurativa multifocal aleatória acentuada associado a miríades de bacilos intralesionais.</t>
        </is>
      </c>
      <c r="O17" s="12" t="inlineStr">
        <is>
          <t>05/06/2025</t>
        </is>
      </c>
      <c r="P17" s="12" t="inlineStr">
        <is>
          <t>peritonite infecciosa felina</t>
        </is>
      </c>
      <c r="Q17" s="12" t="inlineStr">
        <is>
          <t>segundo o remetente, “desde os 4 meses de idade apresentava fezes pastosas e sem formato, mais nenhuma alteração. Após isso, seguiu alternando entre fezes consistentes, macias e liquidas, apesar de inúmeras tentativas de tratamento tanto medicamentoso, como alteração de dieta, não houve melhora do quadra, seguindo com a suspeita de Doença Inflamatória Intestinal. No dia 20 de março de 2025 internou na clínica com febre, dispneia (líquido torácico e abdominal) e bastante icterícia. Na ocasião foi feito um exame de sangue de rotina, que nada evidenciou. Evoluiu para uma piora em horas apresentando uma anemia intensa clínica com mucosas porcelana, vindo a óbito”.</t>
        </is>
      </c>
      <c r="R17" s="12" t="inlineStr"/>
      <c r="S17" s="12" t="inlineStr"/>
    </row>
    <row r="18">
      <c r="A18" s="11" t="inlineStr">
        <is>
          <t>Vn027-25</t>
        </is>
      </c>
      <c r="B18" s="11" t="inlineStr">
        <is>
          <t>PDF — laudo fechado</t>
        </is>
      </c>
      <c r="C18" s="11" t="inlineStr">
        <is>
          <t>Vn027-25.pdf</t>
        </is>
      </c>
      <c r="D18" s="12" t="inlineStr">
        <is>
          <t>22/04/2025</t>
        </is>
      </c>
      <c r="E18" s="12" t="inlineStr">
        <is>
          <t>127396</t>
        </is>
      </c>
      <c r="F18" s="12" t="inlineStr">
        <is>
          <t>felina</t>
        </is>
      </c>
      <c r="G18" s="12" t="inlineStr">
        <is>
          <t>SRD</t>
        </is>
      </c>
      <c r="H18" s="12" t="inlineStr">
        <is>
          <t>fêmea</t>
        </is>
      </c>
      <c r="I18" s="12" t="inlineStr">
        <is>
          <t>2 anos</t>
        </is>
      </c>
      <c r="J18" s="12" t="inlineStr">
        <is>
          <t>Marli Balchum</t>
        </is>
      </c>
      <c r="K18" s="12" t="inlineStr">
        <is>
          <t>Stéfani dos Santos Torres CRMV- RS</t>
        </is>
      </c>
      <c r="L18" s="12" t="inlineStr">
        <is>
          <t>HVU-UFSM</t>
        </is>
      </c>
      <c r="M18" s="12" t="inlineStr">
        <is>
          <t>HVU</t>
        </is>
      </c>
      <c r="N18" s="12" t="inlineStr">
        <is>
          <t>Pâncreas, adenocarcinoma pancreático exócrino. Linfonodos pancreáticos, hepáticos e gástricos, metástase de adenocarcinoma pancreático. Cavidade abdominal (veias porta e cava caudal), múltiplos shunts portossistêmicos adquiridos. Cavidade abdominal, ascite (transudato modificado) moderada. Fígado, metástase de adenocarcinoma pancreático. Baço, metástase de adenocarcinoma pancreático. Pulmão, metástase de adenocarcinoma pancreático. Cápsula hepática, peritônio (diafragma), serosa intestinal, omento, mesentério, metástase por implantação de adenocarcinoma pancreático. Músculo intercostal e diafragma, metástase (invasão) de adenocarcinoma pancreático.</t>
        </is>
      </c>
      <c r="O18" s="12" t="inlineStr">
        <is>
          <t>11/06/2025</t>
        </is>
      </c>
      <c r="P18" s="12" t="inlineStr">
        <is>
          <t>não informado</t>
        </is>
      </c>
      <c r="Q18" s="12" t="inlineStr">
        <is>
          <t>segundo remetente, paciente apresenta massa envolvendo mesentério e nodulações em baço. Foi realizado CAAF sugestiva de neoplasia epitelial.</t>
        </is>
      </c>
      <c r="R18" s="12" t="inlineStr"/>
      <c r="S18" s="12" t="inlineStr"/>
    </row>
    <row r="19">
      <c r="A19" s="11" t="inlineStr">
        <is>
          <t>Vn028-25</t>
        </is>
      </c>
      <c r="B19" s="11" t="inlineStr">
        <is>
          <t>PDF — laudo fechado</t>
        </is>
      </c>
      <c r="C19" s="11" t="inlineStr">
        <is>
          <t>Vn028-25.pdf</t>
        </is>
      </c>
      <c r="D19" s="12" t="inlineStr">
        <is>
          <t>LAUDO HISTOPATOLÓGICO</t>
        </is>
      </c>
      <c r="E19" s="12" t="inlineStr">
        <is>
          <t>feto</t>
        </is>
      </c>
      <c r="F19" s="12" t="inlineStr">
        <is>
          <t>bovino</t>
        </is>
      </c>
      <c r="G19" s="12" t="inlineStr">
        <is>
          <t>Angus</t>
        </is>
      </c>
      <c r="H19" s="12" t="inlineStr"/>
      <c r="I19" s="12" t="inlineStr">
        <is>
          <t>não informado</t>
        </is>
      </c>
      <c r="J19" s="12" t="inlineStr">
        <is>
          <t>Agueda Palmira Castagna de Vargas</t>
        </is>
      </c>
      <c r="K19" s="12" t="inlineStr">
        <is>
          <t>Agueda Palmira Castagna de Vargas</t>
        </is>
      </c>
      <c r="L19" s="12" t="inlineStr">
        <is>
          <t>não informado</t>
        </is>
      </c>
      <c r="M19" s="12" t="inlineStr"/>
      <c r="N19" s="12" t="inlineStr">
        <is>
          <t>Múltiplos órgãos (fígado, pulmão, coração, baço e intestino), autólise difusa acentuada. Encéfalo, sem alterações.</t>
        </is>
      </c>
      <c r="O19" s="12" t="inlineStr">
        <is>
          <t>16/07/2025</t>
        </is>
      </c>
      <c r="P19" s="12" t="inlineStr">
        <is>
          <t>aborto por intoxicação ou mecânico.</t>
        </is>
      </c>
      <c r="Q19" s="12" t="inlineStr">
        <is>
          <t>segundo remetente, a fêmea teve miíase e foi tratada com tigovun (organofosforado). Deseja descartar doenças infecciosas de rebanho.</t>
        </is>
      </c>
      <c r="R19" s="12" t="inlineStr"/>
      <c r="S19" s="14" t="inlineStr">
        <is>
          <t>Campo "Data de recebimento" em branco no proprio laudo.</t>
        </is>
      </c>
    </row>
    <row r="20">
      <c r="A20" s="11" t="inlineStr">
        <is>
          <t>Vn029-25</t>
        </is>
      </c>
      <c r="B20" s="11" t="inlineStr">
        <is>
          <t>PDF — laudo fechado</t>
        </is>
      </c>
      <c r="C20" s="11" t="inlineStr">
        <is>
          <t>Vn029-25.pdf</t>
        </is>
      </c>
      <c r="D20" s="12" t="inlineStr">
        <is>
          <t>22/04/2025</t>
        </is>
      </c>
      <c r="E20" s="12" t="inlineStr">
        <is>
          <t>127.588</t>
        </is>
      </c>
      <c r="F20" s="12" t="inlineStr">
        <is>
          <t>canina</t>
        </is>
      </c>
      <c r="G20" s="12" t="inlineStr">
        <is>
          <t>SRD</t>
        </is>
      </c>
      <c r="H20" s="12" t="inlineStr">
        <is>
          <t>macho</t>
        </is>
      </c>
      <c r="I20" s="12" t="inlineStr">
        <is>
          <t>9 anos</t>
        </is>
      </c>
      <c r="J20" s="12" t="inlineStr">
        <is>
          <t>Derli José Durigon</t>
        </is>
      </c>
      <c r="K20" s="12" t="inlineStr">
        <is>
          <t>João Felipe da Silva Mielke</t>
        </is>
      </c>
      <c r="L20" s="12" t="inlineStr">
        <is>
          <t>HVU- UFSM</t>
        </is>
      </c>
      <c r="M20" s="12" t="inlineStr">
        <is>
          <t>HVU</t>
        </is>
      </c>
      <c r="N20" s="12" t="inlineStr">
        <is>
          <t>Medula espinhal (porções torácica, lombar), mielomalacia hemorrágica aguda focalmente extensa. Medula espinhal (porção cervical), mielite linfoplasmocítica multifocal moderada.</t>
        </is>
      </c>
      <c r="O20" s="12" t="inlineStr">
        <is>
          <t>20/08/2025</t>
        </is>
      </c>
      <c r="P20" s="12" t="inlineStr">
        <is>
          <t>doença do disco intervertebral com mielomalacia</t>
        </is>
      </c>
      <c r="Q20" s="12" t="inlineStr">
        <is>
          <t>segundo remetente, animal apresentou paraplegia aguda por possível atropelamento. Exame neurológico evidenciou paraplegia grau V em MPD, com neurolocalização L4-S3 (NMI) devido aos sinais diminuídos/ausentes. Exame de tomografia computadorizada revelou extrusão de disco em L2-L3. Foi realizada descompressão medular pela técnica de hemilaminectomia. Durante a cirurgia notou-se possível mielomalacia, que no dia seguinte desceu em sentido cauda e depois ascendeu para o crânio, evidenciando pelo reflexo cutâneo do tronco. No domingo (20/04) foi realizado eutanásia devido progressão da malacia.</t>
        </is>
      </c>
      <c r="R20" s="12" t="inlineStr"/>
      <c r="S20" s="12" t="inlineStr"/>
    </row>
    <row r="21">
      <c r="A21" s="11" t="inlineStr">
        <is>
          <t>Vn030-25</t>
        </is>
      </c>
      <c r="B21" s="11" t="inlineStr">
        <is>
          <t>PDF — laudo fechado</t>
        </is>
      </c>
      <c r="C21" s="11" t="inlineStr">
        <is>
          <t>Vn030-25.pdf</t>
        </is>
      </c>
      <c r="D21" s="12" t="inlineStr">
        <is>
          <t>24/04/2025</t>
        </is>
      </c>
      <c r="E21" s="12" t="inlineStr">
        <is>
          <t>127.640</t>
        </is>
      </c>
      <c r="F21" s="12" t="inlineStr">
        <is>
          <t>canina</t>
        </is>
      </c>
      <c r="G21" s="12" t="inlineStr">
        <is>
          <t>SRD</t>
        </is>
      </c>
      <c r="H21" s="12" t="inlineStr">
        <is>
          <t>fêmea</t>
        </is>
      </c>
      <c r="I21" s="12" t="inlineStr">
        <is>
          <t>7 anos</t>
        </is>
      </c>
      <c r="J21" s="12" t="inlineStr">
        <is>
          <t>Cedenir Bamghetti</t>
        </is>
      </c>
      <c r="K21" s="12" t="inlineStr">
        <is>
          <t>Natacha Lisboa CRMV-RS 22462</t>
        </is>
      </c>
      <c r="L21" s="12" t="inlineStr">
        <is>
          <t>HVU-UFSM</t>
        </is>
      </c>
      <c r="M21" s="12" t="inlineStr">
        <is>
          <t>HVU</t>
        </is>
      </c>
      <c r="N21" s="12" t="inlineStr">
        <is>
          <t>Intestino delgado, enterite necrótico-hemorrágica segmentar acentuada com necrose de vilosidades intestinais. Pulmão, congestão difusa moderada e edema alveolar multifocal moderado. Rim, congestão difusa acentuada. Adrenais, congestão difusa acentuada.</t>
        </is>
      </c>
      <c r="O21" s="12" t="inlineStr">
        <is>
          <t>20/08/2025</t>
        </is>
      </c>
      <c r="P21" s="12" t="inlineStr">
        <is>
          <t>não informado</t>
        </is>
      </c>
      <c r="Q21" s="12" t="inlineStr">
        <is>
          <t>segundo remetente, paciente deu entrada no HVU para avaliação com histórico de apatia e fraqueza em membro pélvico (não soube especificar qual). Durante exame físico temperatura estava dentro da normalidade assim como outros parâmetros. No entanto, ao aferir temperatura foi observado sangue no termômetro. Realizado teste rápido para parvovirose, o qual deu negativo. Paciente retornaria para consulta no começo da tarde do mesmo dia, mas foi a óbito. Conforme tutores havia sangue moderada quantidade próximo ao anus.</t>
        </is>
      </c>
      <c r="R21" s="12" t="inlineStr"/>
      <c r="S21" s="12" t="inlineStr"/>
    </row>
    <row r="22">
      <c r="A22" s="11" t="inlineStr">
        <is>
          <t>Vn031-25</t>
        </is>
      </c>
      <c r="B22" s="11" t="inlineStr">
        <is>
          <t>PDF — laudo fechado</t>
        </is>
      </c>
      <c r="C22" s="11" t="inlineStr">
        <is>
          <t>Vn031-25.pdf</t>
        </is>
      </c>
      <c r="D22" s="12" t="inlineStr">
        <is>
          <t>25/04/2025</t>
        </is>
      </c>
      <c r="E22" s="12" t="inlineStr">
        <is>
          <t>não se aplica</t>
        </is>
      </c>
      <c r="F22" s="12" t="inlineStr">
        <is>
          <t>bovina</t>
        </is>
      </c>
      <c r="G22" s="12" t="inlineStr">
        <is>
          <t>Angus</t>
        </is>
      </c>
      <c r="H22" s="12" t="inlineStr">
        <is>
          <t>fêmea</t>
        </is>
      </c>
      <c r="I22" s="12" t="inlineStr">
        <is>
          <t>1 ano</t>
        </is>
      </c>
      <c r="J22" s="12" t="inlineStr">
        <is>
          <t>Fernando Waihrich</t>
        </is>
      </c>
      <c r="K22" s="12" t="inlineStr">
        <is>
          <t>Fernando Waihrich</t>
        </is>
      </c>
      <c r="L22" s="12" t="inlineStr">
        <is>
          <t>externo</t>
        </is>
      </c>
      <c r="M22" s="12" t="inlineStr">
        <is>
          <t>Externo</t>
        </is>
      </c>
      <c r="N22" s="12" t="inlineStr">
        <is>
          <t>Rim, nefrite linfoplasmocítica intersticial multifocal leve. Múltiplos órgãos (encéfalo, hipófise, rete mirabile, gânglio e nervo trigêmeo, fígado, pulmão, miocárdio, rim, baço, rúmen, retículo, omaso, abomaso) sem alterações.</t>
        </is>
      </c>
      <c r="O22" s="12" t="inlineStr">
        <is>
          <t>09/05/2025</t>
        </is>
      </c>
      <c r="P22" s="12" t="inlineStr">
        <is>
          <t>intoxicação por ureia pecuária.</t>
        </is>
      </c>
      <c r="Q22" s="12" t="inlineStr">
        <is>
          <t>segundo remetente, animal começou a apresentar sinais neurológicos (paresia de membros pélvicos). Outros animais morreram na propriedade com os mesmos sinais clínicos. Pouco dias antes do início dos sinais havia sido trocada a ração dos animais.</t>
        </is>
      </c>
      <c r="R22" s="12" t="inlineStr"/>
      <c r="S22" s="12" t="inlineStr"/>
    </row>
    <row r="23">
      <c r="A23" s="13" t="inlineStr">
        <is>
          <t>Vn032-25</t>
        </is>
      </c>
      <c r="B23" s="13" t="inlineStr">
        <is>
          <t>Word — em aberto</t>
        </is>
      </c>
      <c r="C23" s="13" t="inlineStr">
        <is>
          <t>Vn032-25.docx</t>
        </is>
      </c>
      <c r="D23" s="12" t="inlineStr">
        <is>
          <t>21/04/2025</t>
        </is>
      </c>
      <c r="E23" s="12" t="inlineStr">
        <is>
          <t>“Kaká”</t>
        </is>
      </c>
      <c r="F23" s="12" t="inlineStr">
        <is>
          <t>felina</t>
        </is>
      </c>
      <c r="G23" s="12" t="inlineStr">
        <is>
          <t>SRD</t>
        </is>
      </c>
      <c r="H23" s="12" t="inlineStr">
        <is>
          <t>fêmea</t>
        </is>
      </c>
      <c r="I23" s="12" t="inlineStr">
        <is>
          <t>1 ano</t>
        </is>
      </c>
      <c r="J23" s="12" t="inlineStr">
        <is>
          <t>Flávia Sangoi Alassia</t>
        </is>
      </c>
      <c r="K23" s="12" t="inlineStr">
        <is>
          <t>Flávia Sangoi Alassia</t>
        </is>
      </c>
      <c r="L23" s="12" t="inlineStr">
        <is>
          <t>não se aplica</t>
        </is>
      </c>
      <c r="M23" s="12" t="inlineStr">
        <is>
          <t>Externo</t>
        </is>
      </c>
      <c r="N23" s="12" t="inlineStr">
        <is>
          <t>Lingua, estomatite ulcerativa Estômago, úlceras multifocais</t>
        </is>
      </c>
      <c r="O23" s="12" t="inlineStr">
        <is>
          <t>em andamento</t>
        </is>
      </c>
      <c r="P23" s="12" t="inlineStr">
        <is>
          <t>não informado</t>
        </is>
      </c>
      <c r="Q23" s="12" t="inlineStr">
        <is>
          <t>segundo o remetente, animal resgatado há aproximadamente 6 meses. Testada positiva para FIV e FeLV. Já apresentava estomatite e periodontite quando resgatada, apresentando dificuldade para deglutir. Diagnosticada com giárdia e tratada. Recebeu penicilina e agemoxi para as lesões em cavidade oral e apresentou melhora do quadro. Há aproximadamente um mês atrás as lesões em cavidade oral pioraram. Foi tratada com clindamicina, sem apresentar melhora. O quadro das lesões orais se agravou e o animal passou a apresentar aumento de volume em membro torácico direito, com dificuldade para apoiar. Parou de comer e as mucosas ficaram acentuadamente pálidas. Devido a piora do quadro, foi optada pela eutanásia.</t>
        </is>
      </c>
      <c r="R23" s="12" t="inlineStr"/>
      <c r="S23" s="14" t="inlineStr">
        <is>
          <t>Word (em aberto), mas JA TEM diagnostico preenchido. Falta so emitir/fechar o laudo.</t>
        </is>
      </c>
    </row>
    <row r="24">
      <c r="A24" s="13" t="inlineStr">
        <is>
          <t>Vn033-25</t>
        </is>
      </c>
      <c r="B24" s="13" t="inlineStr">
        <is>
          <t>Word — em aberto</t>
        </is>
      </c>
      <c r="C24" s="13" t="inlineStr">
        <is>
          <t>Vn033-25.docx</t>
        </is>
      </c>
      <c r="D24" s="12" t="inlineStr">
        <is>
          <t>29/04/2025</t>
        </is>
      </c>
      <c r="E24" s="12" t="inlineStr">
        <is>
          <t>“Magali” (RG: 127692)</t>
        </is>
      </c>
      <c r="F24" s="12" t="inlineStr">
        <is>
          <t>canina</t>
        </is>
      </c>
      <c r="G24" s="12" t="inlineStr">
        <is>
          <t>Shih-tzu</t>
        </is>
      </c>
      <c r="H24" s="12" t="inlineStr">
        <is>
          <t>fêmea</t>
        </is>
      </c>
      <c r="I24" s="12" t="inlineStr">
        <is>
          <t>12 anos</t>
        </is>
      </c>
      <c r="J24" s="12" t="inlineStr">
        <is>
          <t>Freya Ivanna</t>
        </is>
      </c>
      <c r="K24" s="12" t="inlineStr">
        <is>
          <t>Dra. Ana Paula da Silva</t>
        </is>
      </c>
      <c r="L24" s="12" t="inlineStr">
        <is>
          <t>HVU-UFSM</t>
        </is>
      </c>
      <c r="M24" s="12" t="inlineStr">
        <is>
          <t>HVU</t>
        </is>
      </c>
      <c r="N24" s="12" t="inlineStr">
        <is>
          <t>Adrenal direita, carcinoma cortical. Adrenal esquerda, adenoma cortical com mineralização focal. Hipófise (pars intermedia), cistos multifocais. Rins, glomerulonefrite membranoproliferativa segmentar leve. Pulmão, atelectasia multifocal discreta. Encéfalo, hidrocefalia discreta. Pâncreas, sem alterações. FAZER LÂMINA DE INTESTINO E DO LIPOMA</t>
        </is>
      </c>
      <c r="O24" s="12" t="inlineStr"/>
      <c r="P24" s="12" t="inlineStr">
        <is>
          <t>diabetes mellitus, pancreatite aguda, coagulação intravascular disseminada, neoplasia adrenal.</t>
        </is>
      </c>
      <c r="Q24" s="12" t="inlineStr">
        <is>
          <t>segundo o remetente, paciente chegou para atendimento de urgência apresentando apatia, hipotermia, palidez das mucosas e hiperglicemia (585mg/dL). Aproximadamente duas horas antes encontrava-se ativa e sem sinais clínicos. Foi encontrada extremamente prostrada, chorando e sem conseguir levantar. Ultrassonografia abdominal revelou mesentério acentuadamente inflamado, pâncreas aumentado e mal delimitado, tumor de grandes dimensões em adrenal direita, adrenal esquerda aumentada com aspecto neoplásico. Baço e adrenal direita sem vascularização ao modo doppler. Fígado com aspecto de hepatopatia aguda/toxêmica. Alças intestinais inflamadas com segmento jejunal próximo ao baço acentuadamente inflamado. Alterações laboratoriais encontradas foram hiperglicemia, hipoalbuminemia e hiperfosfatemia. Paciente foi a óbito duas horas após a chegada ao hospital apresentando hematoquezia e dispneia.</t>
        </is>
      </c>
      <c r="R24" s="12" t="inlineStr"/>
      <c r="S24" s="14" t="inlineStr">
        <is>
          <t>Word (em aberto), mas JA TEM diagnostico preenchido. Falta so emitir/fechar o laudo.</t>
        </is>
      </c>
    </row>
    <row r="25">
      <c r="A25" s="13" t="inlineStr">
        <is>
          <t>Vn035-25</t>
        </is>
      </c>
      <c r="B25" s="13" t="inlineStr">
        <is>
          <t>Word — em aberto</t>
        </is>
      </c>
      <c r="C25" s="13" t="inlineStr">
        <is>
          <t>Vn035-25.docx</t>
        </is>
      </c>
      <c r="D25" s="12" t="inlineStr">
        <is>
          <t>05/05/2025</t>
        </is>
      </c>
      <c r="E25" s="12" t="inlineStr">
        <is>
          <t>Ursa/Rg 125137</t>
        </is>
      </c>
      <c r="F25" s="12" t="inlineStr">
        <is>
          <t>canino</t>
        </is>
      </c>
      <c r="G25" s="12" t="inlineStr">
        <is>
          <t>SRD</t>
        </is>
      </c>
      <c r="H25" s="12" t="inlineStr">
        <is>
          <t>fêmea</t>
        </is>
      </c>
      <c r="I25" s="12" t="inlineStr">
        <is>
          <t>7 anos</t>
        </is>
      </c>
      <c r="J25" s="12" t="inlineStr">
        <is>
          <t>Rosane Azevedo</t>
        </is>
      </c>
      <c r="K25" s="12" t="inlineStr">
        <is>
          <t>Laís Silveira CRMV-RS 13195 / Anne</t>
        </is>
      </c>
      <c r="L25" s="12" t="inlineStr">
        <is>
          <t>HVU-UFSM</t>
        </is>
      </c>
      <c r="M25" s="12" t="inlineStr">
        <is>
          <t>HVU</t>
        </is>
      </c>
      <c r="N25" s="12" t="inlineStr"/>
      <c r="O25" s="12" t="inlineStr">
        <is>
          <t>em andamento</t>
        </is>
      </c>
      <c r="P25" s="12" t="inlineStr">
        <is>
          <t>sepse, pneumonia.</t>
        </is>
      </c>
      <c r="Q25" s="12" t="inlineStr">
        <is>
          <t>animal foi atendido pela primeira vez em agosto/24 apresentando anemia e icterícia intensa. Foi realizada transfusão e iniciado tratamento imunossupressor com corticoide. Quando a dose de corticoide foi reduzida começou a apresentar necrose nas extremidades: orelhas, rabo, membros. Foi iniciado novamente tratamento imunossupressor com corticoide, que utilizou por cerca de 6 meses. Devido aos efeitos colaterais (desenvolvimento de possível hiperadrenocorticismo iatrogênico) começou a utiliza azatioprina. No ultimo mês apresentou lesões de pele, provavelmente pelo uso da medicação. Nos últimos dias, apresentou secreção nasal serosanguinolenta, tosse e prostração, além de secreção ocular (suspeita de neoplasia ocular).</t>
        </is>
      </c>
      <c r="R25" s="12" t="inlineStr"/>
      <c r="S25" s="12" t="inlineStr"/>
    </row>
    <row r="26">
      <c r="A26" s="11" t="inlineStr">
        <is>
          <t>Vn038-25</t>
        </is>
      </c>
      <c r="B26" s="11" t="inlineStr">
        <is>
          <t>PDF — laudo fechado</t>
        </is>
      </c>
      <c r="C26" s="11" t="inlineStr">
        <is>
          <t>Vn038-25.pdf</t>
        </is>
      </c>
      <c r="D26" s="12" t="inlineStr">
        <is>
          <t>0705/2025</t>
        </is>
      </c>
      <c r="E26" s="12" t="inlineStr">
        <is>
          <t>Não informado</t>
        </is>
      </c>
      <c r="F26" s="12" t="inlineStr">
        <is>
          <t>Ovino</t>
        </is>
      </c>
      <c r="G26" s="12" t="inlineStr">
        <is>
          <t>Corriedale/Ile</t>
        </is>
      </c>
      <c r="H26" s="12" t="inlineStr">
        <is>
          <t>macho</t>
        </is>
      </c>
      <c r="I26" s="12" t="inlineStr">
        <is>
          <t>0</t>
        </is>
      </c>
      <c r="J26" s="12" t="inlineStr">
        <is>
          <t>Guilherme Maçolla</t>
        </is>
      </c>
      <c r="K26" s="12" t="inlineStr">
        <is>
          <t>Fabiane Fernandes</t>
        </is>
      </c>
      <c r="L26" s="12" t="inlineStr">
        <is>
          <t>Ourofino</t>
        </is>
      </c>
      <c r="M26" s="12" t="inlineStr">
        <is>
          <t>Externo</t>
        </is>
      </c>
      <c r="N26" s="12" t="inlineStr">
        <is>
          <t>Mandíbula, prognatismo. Múltiplos órgãos, sem alterações.</t>
        </is>
      </c>
      <c r="O26" s="12" t="inlineStr">
        <is>
          <t>23/09/2025</t>
        </is>
      </c>
      <c r="P26" s="12" t="inlineStr">
        <is>
          <t>não consta</t>
        </is>
      </c>
      <c r="Q26" s="12" t="inlineStr">
        <is>
          <t>cordeiros natimortos, de 16 paridas 10 morreram, sem histórico de vacinação ultimo manejo há 40 dias com nitrixinil, sem consanguinidade. 1 com alteração na maxila superior, mais curta (prognata) as demais sem alteração.</t>
        </is>
      </c>
      <c r="R26" s="12" t="inlineStr"/>
      <c r="S26" s="14" t="inlineStr">
        <is>
          <t>Data de recebimento com erro de digitacao no laudo: "0705/2025".</t>
        </is>
      </c>
    </row>
    <row r="27">
      <c r="A27" s="13" t="inlineStr">
        <is>
          <t>Vn041-25</t>
        </is>
      </c>
      <c r="B27" s="13" t="inlineStr">
        <is>
          <t>Word — em aberto</t>
        </is>
      </c>
      <c r="C27" s="13" t="inlineStr">
        <is>
          <t>Vn41-25.docx</t>
        </is>
      </c>
      <c r="D27" s="12" t="inlineStr">
        <is>
          <t>13/05/2025</t>
        </is>
      </c>
      <c r="E27" s="12" t="inlineStr">
        <is>
          <t>“Lucky Boy”</t>
        </is>
      </c>
      <c r="F27" s="12" t="inlineStr">
        <is>
          <t>equina</t>
        </is>
      </c>
      <c r="G27" s="12" t="inlineStr">
        <is>
          <t>Brasileiro de Hipismo</t>
        </is>
      </c>
      <c r="H27" s="12" t="inlineStr">
        <is>
          <t>macho</t>
        </is>
      </c>
      <c r="I27" s="12" t="inlineStr">
        <is>
          <t>1 ano e 3 meses</t>
        </is>
      </c>
      <c r="J27" s="12" t="inlineStr">
        <is>
          <t>Ernesto Rocha</t>
        </is>
      </c>
      <c r="K27" s="12" t="inlineStr">
        <is>
          <t>Dr. Bernardo Zeilmann</t>
        </is>
      </c>
      <c r="L27" s="12" t="inlineStr">
        <is>
          <t>Clínica Topo da Bica</t>
        </is>
      </c>
      <c r="M27" s="12" t="inlineStr">
        <is>
          <t>Externo</t>
        </is>
      </c>
      <c r="N27" s="12" t="inlineStr"/>
      <c r="O27" s="12" t="inlineStr">
        <is>
          <t>em andamento</t>
        </is>
      </c>
      <c r="P27" s="12" t="inlineStr">
        <is>
          <t>suspeita de linfoma</t>
        </is>
      </c>
      <c r="Q27" s="12" t="inlineStr">
        <is>
          <t>segundo o remetente, paciente abaixo do tamanho e peso esperados para a idade. Apresentava nódulos cutâneos em diferentes locais do corpo.</t>
        </is>
      </c>
      <c r="R27" s="12" t="inlineStr"/>
      <c r="S27" s="12" t="inlineStr"/>
    </row>
    <row r="28">
      <c r="A28" s="13" t="inlineStr">
        <is>
          <t>Vn042-25</t>
        </is>
      </c>
      <c r="B28" s="13" t="inlineStr">
        <is>
          <t>Word — em aberto</t>
        </is>
      </c>
      <c r="C28" s="13" t="inlineStr">
        <is>
          <t>Vn042-25.docx</t>
        </is>
      </c>
      <c r="D28" s="12" t="inlineStr">
        <is>
          <t>13/05/2025</t>
        </is>
      </c>
      <c r="E28" s="12" t="inlineStr">
        <is>
          <t>127783</t>
        </is>
      </c>
      <c r="F28" s="12" t="inlineStr">
        <is>
          <t>canina</t>
        </is>
      </c>
      <c r="G28" s="12" t="inlineStr">
        <is>
          <t>Akita</t>
        </is>
      </c>
      <c r="H28" s="12" t="inlineStr">
        <is>
          <t>macho</t>
        </is>
      </c>
      <c r="I28" s="12" t="inlineStr">
        <is>
          <t>10 anos</t>
        </is>
      </c>
      <c r="J28" s="12" t="inlineStr">
        <is>
          <t>Helen Mary Machado Mengue</t>
        </is>
      </c>
      <c r="K28" s="12" t="inlineStr">
        <is>
          <t>Dra. Amanda Miwa</t>
        </is>
      </c>
      <c r="L28" s="12" t="inlineStr">
        <is>
          <t>HVU – UFSM</t>
        </is>
      </c>
      <c r="M28" s="12" t="inlineStr">
        <is>
          <t>HVU</t>
        </is>
      </c>
      <c r="N28" s="12" t="inlineStr"/>
      <c r="O28" s="12" t="inlineStr">
        <is>
          <t>em andamento</t>
        </is>
      </c>
      <c r="P28" s="12" t="inlineStr">
        <is>
          <t>não informado</t>
        </is>
      </c>
      <c r="Q28" s="12" t="inlineStr">
        <is>
          <t>segundo o remetente, em janeiro parou de urinar de forma voluntária. No meio de março começou com dificuldade para caminhar com os membros pélvicos, evoluindo para paraplegia sem nocicepção. Foi realizado duas tomografias, onde se evidenciou protrusões de disco. Teste para leishmaniose, toxoplasmose, neospora, erlichia, blastomyces dermatitidis, histoplasma capsulatum, babesia, cryptococus, coccidioides e cinomose, todos negativos. Atendido no serviço de neurologia no dia 06/05 apresentando paraplegia sem nocicepção nos membros pélvicos, paresia dos membros torácicos, reflexo flexor diminuído nos membros torácicos e ausente nos membros pélvicos, além do reflexo patelar negativo. Há 4 anos fez hemilaminectomia em L5 – L6, mas tutores não sabem informar o motivo.</t>
        </is>
      </c>
      <c r="R28" s="12" t="inlineStr"/>
      <c r="S28" s="12" t="inlineStr"/>
    </row>
    <row r="29">
      <c r="A29" s="11" t="inlineStr">
        <is>
          <t>Vn043-25</t>
        </is>
      </c>
      <c r="B29" s="11" t="inlineStr">
        <is>
          <t>PDF — laudo fechado</t>
        </is>
      </c>
      <c r="C29" s="11" t="inlineStr">
        <is>
          <t>Vn43-25.pdf</t>
        </is>
      </c>
      <c r="D29" s="12" t="inlineStr">
        <is>
          <t>14/05/2025</t>
        </is>
      </c>
      <c r="E29" s="12" t="inlineStr">
        <is>
          <t>127596</t>
        </is>
      </c>
      <c r="F29" s="12" t="inlineStr">
        <is>
          <t>felina</t>
        </is>
      </c>
      <c r="G29" s="12" t="inlineStr">
        <is>
          <t>SRD</t>
        </is>
      </c>
      <c r="H29" s="12" t="inlineStr">
        <is>
          <t>fêmea</t>
        </is>
      </c>
      <c r="I29" s="12" t="inlineStr">
        <is>
          <t>1 ano</t>
        </is>
      </c>
      <c r="J29" s="12" t="inlineStr">
        <is>
          <t>Jenifer P. Brum</t>
        </is>
      </c>
      <c r="K29" s="12" t="inlineStr">
        <is>
          <t>Dra. Lisiane Vieira e Dra. Júlia</t>
        </is>
      </c>
      <c r="L29" s="12" t="inlineStr">
        <is>
          <t>HVU-UFSM</t>
        </is>
      </c>
      <c r="M29" s="12" t="inlineStr">
        <is>
          <t>HVU</t>
        </is>
      </c>
      <c r="N29" s="12" t="inlineStr">
        <is>
          <t>Pulmão, edema alveolar multifocal moderado Cavidade torácica, hidrotórax (transudato modificado) Múltiplos órgãos (pulmão, fígado, baço, rins, encéfalo), congestão multifocal acentuada.</t>
        </is>
      </c>
      <c r="O29" s="12" t="inlineStr">
        <is>
          <t>17/07/2025</t>
        </is>
      </c>
      <c r="P29" s="12" t="inlineStr">
        <is>
          <t>não informado</t>
        </is>
      </c>
      <c r="Q29" s="12" t="inlineStr">
        <is>
          <t>segundo o remetente, paciente fez OSH dia 09/05 no HVU em projeto. Alta no mesmo dia. Sem intercorrências. No domingo (11/05) parou de comer. Na terça (13/05) começou com dispneia. Internou dia 14/05 pela manhã. Descompensou durante US, constatada efusão pleural, toracocentese realizada e removidos 90ml de efusão bilateral, enviadas para análise de líquido cavitário. Sem histórico prévio. Fez edema pulmonar após novo exame de imagem e parada cardiorrespiratória.</t>
        </is>
      </c>
      <c r="R29" s="12" t="inlineStr"/>
      <c r="S29" s="12" t="inlineStr"/>
    </row>
    <row r="30">
      <c r="A30" s="11" t="inlineStr">
        <is>
          <t>Vn044-25</t>
        </is>
      </c>
      <c r="B30" s="11" t="inlineStr">
        <is>
          <t>PDF — laudo fechado</t>
        </is>
      </c>
      <c r="C30" s="11" t="inlineStr">
        <is>
          <t>Vn044-25.pdf</t>
        </is>
      </c>
      <c r="D30" s="12" t="inlineStr">
        <is>
          <t>16/05/2025</t>
        </is>
      </c>
      <c r="E30" s="12" t="inlineStr">
        <is>
          <t>RG-HVU 100.816</t>
        </is>
      </c>
      <c r="F30" s="12" t="inlineStr">
        <is>
          <t>felina</t>
        </is>
      </c>
      <c r="G30" s="12" t="inlineStr">
        <is>
          <t>SRD</t>
        </is>
      </c>
      <c r="H30" s="12" t="inlineStr">
        <is>
          <t>macho</t>
        </is>
      </c>
      <c r="I30" s="12" t="inlineStr">
        <is>
          <t>8 anos</t>
        </is>
      </c>
      <c r="J30" s="12" t="inlineStr">
        <is>
          <t>Tainara Portella</t>
        </is>
      </c>
      <c r="K30" s="12" t="inlineStr">
        <is>
          <t>Dr. João Mielke e Prof. Alexandre</t>
        </is>
      </c>
      <c r="L30" s="12" t="inlineStr"/>
      <c r="M30" s="12" t="inlineStr"/>
      <c r="N30" s="12" t="inlineStr">
        <is>
          <t>Hipófise, adenoma cromófobo de pars distalis. com compressão encefálica e herniação cerebelar secundária. Fígado, peliose multifocal moderada.</t>
        </is>
      </c>
      <c r="O30" s="12" t="inlineStr">
        <is>
          <t>01/10/2025</t>
        </is>
      </c>
      <c r="P30" s="12" t="inlineStr">
        <is>
          <t>neoplasia encefálica (meningioma); encefalite inflamatória infecciosa; PIF e encefalopatia hepática.</t>
        </is>
      </c>
      <c r="Q30" s="12" t="inlineStr">
        <is>
          <t>segundo o remetente, pancreatite há 2 meses. Perda considerada de pese (8kg para 3,4 kg). FIV e FeLV negativo. Apresentou andar compulsivo, redução do nível de consciência (obnubilado), não respondia a estímulos sensores e comandos. Déficit proprioceptivo nos 4 membros; reflexos patelar e flexores normal; saltitamento ausente; não apresenta dor a palpação epaxial da coluna e crânio. Desidratação 7%. Suspeita: neoplasia encefálica (meningioma); encefalite inflamatória infecciosa; menos provável: PIF e encefalopatia hepática. Exames de sangue (hemograma e bioquímica sérica básica) praticamente normais. Apenas anemia (28%).</t>
        </is>
      </c>
      <c r="R30" s="12" t="inlineStr"/>
      <c r="S30" s="14" t="inlineStr">
        <is>
          <t>Campo "Clinica/empresa" em branco no proprio laudo.</t>
        </is>
      </c>
    </row>
    <row r="31">
      <c r="A31" s="11" t="inlineStr">
        <is>
          <t>Vn045-25</t>
        </is>
      </c>
      <c r="B31" s="11" t="inlineStr">
        <is>
          <t>PDF — laudo fechado</t>
        </is>
      </c>
      <c r="C31" s="11" t="inlineStr">
        <is>
          <t>Vn045-25.pdf</t>
        </is>
      </c>
      <c r="D31" s="12" t="inlineStr">
        <is>
          <t>19/05/2025</t>
        </is>
      </c>
      <c r="E31" s="12" t="inlineStr">
        <is>
          <t>não informado</t>
        </is>
      </c>
      <c r="F31" s="12" t="inlineStr">
        <is>
          <t>suíno</t>
        </is>
      </c>
      <c r="G31" s="12" t="inlineStr">
        <is>
          <t>não informado</t>
        </is>
      </c>
      <c r="H31" s="12" t="inlineStr">
        <is>
          <t>macho</t>
        </is>
      </c>
      <c r="I31" s="12" t="inlineStr">
        <is>
          <t>55 dias</t>
        </is>
      </c>
      <c r="J31" s="12" t="inlineStr">
        <is>
          <t>Cristiano Moro de Oliveira</t>
        </is>
      </c>
      <c r="K31" s="12" t="inlineStr">
        <is>
          <t>Cristiano Moro de Oliveira</t>
        </is>
      </c>
      <c r="L31" s="12" t="inlineStr">
        <is>
          <t>não informado</t>
        </is>
      </c>
      <c r="M31" s="12" t="inlineStr"/>
      <c r="N31" s="12" t="inlineStr">
        <is>
          <t>Pele (pálpebra) e conjuntiva, edema difuso acentuado. Pulmão, edema e congestão difuso acentuado. Cavidade abdominal, hidroperitônio leve (transudato modificado). Intestino grosso, edema de submucosa multifocal leve.</t>
        </is>
      </c>
      <c r="O31" s="12" t="inlineStr">
        <is>
          <t>06/06/2025</t>
        </is>
      </c>
      <c r="P31" s="12" t="inlineStr">
        <is>
          <t>não informado</t>
        </is>
      </c>
      <c r="Q31" s="12" t="inlineStr">
        <is>
          <t>segundo o remetente, morreram hoje de manhã, estava em decúbito ventral, tratamento com terramicina, sem dor, não gritava, sem diarreia, estava em um lote com 7 leitões em confinamento, alimentado com milho quebrado.</t>
        </is>
      </c>
      <c r="R31" s="12" t="inlineStr"/>
      <c r="S31" s="12" t="inlineStr"/>
    </row>
    <row r="32">
      <c r="A32" s="11" t="inlineStr">
        <is>
          <t>Vn046-25</t>
        </is>
      </c>
      <c r="B32" s="11" t="inlineStr">
        <is>
          <t>PDF — laudo fechado</t>
        </is>
      </c>
      <c r="C32" s="11" t="inlineStr">
        <is>
          <t>Vn046-25.pdf</t>
        </is>
      </c>
      <c r="D32" s="12" t="inlineStr">
        <is>
          <t>19/05/2025</t>
        </is>
      </c>
      <c r="E32" s="12" t="inlineStr">
        <is>
          <t>não informado</t>
        </is>
      </c>
      <c r="F32" s="12" t="inlineStr">
        <is>
          <t>suíno</t>
        </is>
      </c>
      <c r="G32" s="12" t="inlineStr">
        <is>
          <t>não informado</t>
        </is>
      </c>
      <c r="H32" s="12" t="inlineStr">
        <is>
          <t>fêmea</t>
        </is>
      </c>
      <c r="I32" s="12" t="inlineStr">
        <is>
          <t>55 dias</t>
        </is>
      </c>
      <c r="J32" s="12" t="inlineStr">
        <is>
          <t>Cristiano Moro de Oliveira</t>
        </is>
      </c>
      <c r="K32" s="12" t="inlineStr">
        <is>
          <t>Cristiano Moro de Oliveira</t>
        </is>
      </c>
      <c r="L32" s="12" t="inlineStr">
        <is>
          <t>não informado</t>
        </is>
      </c>
      <c r="M32" s="12" t="inlineStr"/>
      <c r="N32" s="12" t="inlineStr">
        <is>
          <t>Pele (pálpebra), edema difuso leve. Pulmão, edema difuso acentuado com congestão difusa acentuada. Saco pericárdico, hidropericárdio acentuado. Cavidade torácica, hidrotótax moderado. Cavidade abdominal, hemoperitôneo moderado. Intestino grosso, enterite linfoplasmocitico multifocal leve e edema multifocal leve. Encéfalo, meningite linfoplasmocítica e neutrofílica multifocal leve.</t>
        </is>
      </c>
      <c r="O32" s="12" t="inlineStr">
        <is>
          <t>06/06/2025</t>
        </is>
      </c>
      <c r="P32" s="12" t="inlineStr">
        <is>
          <t>não informado</t>
        </is>
      </c>
      <c r="Q32" s="12" t="inlineStr">
        <is>
          <t>segundo o remetente, morreram hoje de manhã, patinhava, tratamento com terramicina, sem dor, não gritava, sem diarreia, estava em um lote com 7 leitões em confinamento, alimentado com milho quebrado.</t>
        </is>
      </c>
      <c r="R32" s="12" t="inlineStr"/>
      <c r="S32" s="12" t="inlineStr"/>
    </row>
    <row r="33">
      <c r="A33" s="11" t="inlineStr">
        <is>
          <t>Vn047-25</t>
        </is>
      </c>
      <c r="B33" s="11" t="inlineStr">
        <is>
          <t>PDF — laudo fechado</t>
        </is>
      </c>
      <c r="C33" s="11" t="inlineStr">
        <is>
          <t>Vn047-25.pdf</t>
        </is>
      </c>
      <c r="D33" s="12" t="inlineStr">
        <is>
          <t>21/05/2025</t>
        </is>
      </c>
      <c r="E33" s="12" t="inlineStr">
        <is>
          <t>RG-HVU 127.780</t>
        </is>
      </c>
      <c r="F33" s="12" t="inlineStr">
        <is>
          <t>canina</t>
        </is>
      </c>
      <c r="G33" s="12" t="inlineStr">
        <is>
          <t>Pug</t>
        </is>
      </c>
      <c r="H33" s="12" t="inlineStr">
        <is>
          <t>fêmea</t>
        </is>
      </c>
      <c r="I33" s="12" t="inlineStr">
        <is>
          <t>8 anos</t>
        </is>
      </c>
      <c r="J33" s="12" t="inlineStr">
        <is>
          <t>Guilherme Alves</t>
        </is>
      </c>
      <c r="K33" s="12" t="inlineStr">
        <is>
          <t>Prof. Alexandre Mazzanti</t>
        </is>
      </c>
      <c r="L33" s="12" t="inlineStr">
        <is>
          <t>HVU-UFSM</t>
        </is>
      </c>
      <c r="M33" s="12" t="inlineStr">
        <is>
          <t>HVU</t>
        </is>
      </c>
      <c r="N33" s="12" t="inlineStr">
        <is>
          <t>Cerebelo, leucoencefalite linfoplasmocítica e necrosante multifocal acentuada associada a corpúsculos de inclusão intranucleares. Medula espinhal (cervical, torácica e sacral), leucoencefalite linfoplasmocítica e necrosante multifocal moderada.</t>
        </is>
      </c>
      <c r="O33" s="12" t="inlineStr">
        <is>
          <t>19/12/2025</t>
        </is>
      </c>
      <c r="P33" s="12" t="inlineStr">
        <is>
          <t>polirradiculoneurite; lesão multifocal inflamatória no encéfalo e/ou medula espinhal; neoplasia.</t>
        </is>
      </c>
      <c r="Q33" s="12" t="inlineStr">
        <is>
          <t>segundo o remetente, no dia 03/05 começou a cambalear, perder equilíbrio e sábado parou de caminhar. Convive com outros demais. No exame neurológico, verifica-se tetraparesia não ambulatorial flácida, com diminuição do tônus extensor e dos reflexos segmentares espinhais. Tem nistagmo posicional. Suspeita clínica: polirradiculoneurite? Lesão multifocal inflamatória no encéfalo e/ou medula espinhal? Neoplasia. estava com dificuldade respiratória e pulmão com padrão de pneumonia no RX.</t>
        </is>
      </c>
      <c r="R33" s="12" t="inlineStr"/>
      <c r="S33" s="12" t="inlineStr"/>
    </row>
    <row r="34">
      <c r="A34" s="11" t="inlineStr">
        <is>
          <t>Vn048-25</t>
        </is>
      </c>
      <c r="B34" s="11" t="inlineStr">
        <is>
          <t>PDF — laudo fechado</t>
        </is>
      </c>
      <c r="C34" s="11" t="inlineStr">
        <is>
          <t>Vn048-25.pdf</t>
        </is>
      </c>
      <c r="D34" s="12" t="inlineStr">
        <is>
          <t>23/05/2025</t>
        </is>
      </c>
      <c r="E34" s="12" t="inlineStr">
        <is>
          <t>Spike/Rg127.436</t>
        </is>
      </c>
      <c r="F34" s="12" t="inlineStr">
        <is>
          <t>canino</t>
        </is>
      </c>
      <c r="G34" s="12" t="inlineStr">
        <is>
          <t>Shih-tzu</t>
        </is>
      </c>
      <c r="H34" s="12" t="inlineStr">
        <is>
          <t>macho</t>
        </is>
      </c>
      <c r="I34" s="12" t="inlineStr">
        <is>
          <t>14 anos</t>
        </is>
      </c>
      <c r="J34" s="12" t="inlineStr">
        <is>
          <t>Denise Rigo</t>
        </is>
      </c>
      <c r="K34" s="12" t="inlineStr">
        <is>
          <t>Pedro Buttelli (CRMV-RS 22260)</t>
        </is>
      </c>
      <c r="L34" s="12" t="inlineStr">
        <is>
          <t>HVU-UFSM</t>
        </is>
      </c>
      <c r="M34" s="12" t="inlineStr">
        <is>
          <t>HVU</t>
        </is>
      </c>
      <c r="N34" s="12" t="inlineStr">
        <is>
          <t>Cavidade oral, carcinoma de células escamosas com invasão da mandíbula. Linfonodo submandibular, metástase de carcinoma de células escamosas.</t>
        </is>
      </c>
      <c r="O34" s="12" t="inlineStr">
        <is>
          <t>23/09/2025</t>
        </is>
      </c>
      <c r="P34" s="12" t="inlineStr">
        <is>
          <t>sarcoma, osteossarcoma.</t>
        </is>
      </c>
      <c r="Q34" s="12" t="inlineStr">
        <is>
          <t>animal fez profilaxia dentária há 1 mês. Tutores notaram que boca não ficou boa, nem melhorava. Trouxeram para atendimento. Animal estava apático e sem comer, com sangramento em boca. Rx mandibular indicou comprometimento de hemi-mandíbula direita, com lise óssea, linfonodo, na CAAF veio bastante alterações (muitas mitoses) e células mesenquimais.</t>
        </is>
      </c>
      <c r="R34" s="12" t="inlineStr"/>
      <c r="S34" s="12" t="inlineStr"/>
    </row>
    <row r="35">
      <c r="A35" s="11" t="inlineStr">
        <is>
          <t>Vn049-25</t>
        </is>
      </c>
      <c r="B35" s="11" t="inlineStr">
        <is>
          <t>PDF — laudo fechado</t>
        </is>
      </c>
      <c r="C35" s="11" t="inlineStr">
        <is>
          <t>Vn-049-25 (felino pago).pdf</t>
        </is>
      </c>
      <c r="D35" s="12" t="inlineStr">
        <is>
          <t>26/05/2025</t>
        </is>
      </c>
      <c r="E35" s="12" t="inlineStr">
        <is>
          <t>Charlote</t>
        </is>
      </c>
      <c r="F35" s="12" t="inlineStr">
        <is>
          <t>felino</t>
        </is>
      </c>
      <c r="G35" s="12" t="inlineStr">
        <is>
          <t>não informado</t>
        </is>
      </c>
      <c r="H35" s="12" t="inlineStr">
        <is>
          <t>fêmea</t>
        </is>
      </c>
      <c r="I35" s="12" t="inlineStr">
        <is>
          <t>5 anos</t>
        </is>
      </c>
      <c r="J35" s="12" t="inlineStr">
        <is>
          <t>Carina Carvalho</t>
        </is>
      </c>
      <c r="K35" s="12" t="inlineStr">
        <is>
          <t>Leonardo Rodrigues Kohn</t>
        </is>
      </c>
      <c r="L35" s="12" t="inlineStr">
        <is>
          <t>Cia dos Bichos</t>
        </is>
      </c>
      <c r="M35" s="12" t="inlineStr">
        <is>
          <t>Externo</t>
        </is>
      </c>
      <c r="N35" s="12" t="inlineStr">
        <is>
          <t>Coração (ventrículo esquerdo), hipertrofia miocárdica concêntrica difusa acentuada (cardiomiopatia hipertrófica) Cavidade torácica, hidrotórax Pulmão, edema alveolar multifocal acentuado</t>
        </is>
      </c>
      <c r="O35" s="12" t="inlineStr">
        <is>
          <t>18/06/2025</t>
        </is>
      </c>
      <c r="P35" s="12" t="inlineStr">
        <is>
          <t>não consta</t>
        </is>
      </c>
      <c r="Q35" s="12" t="inlineStr">
        <is>
          <t>encaminho a referida pet para realização de necropsia, para elucidação da causa da morte. Paciente foi atendida no dia 26/05/2025, +/- 07:15 (horário de plantão). Paciente apresentava edema pulmonar com líquido saindo pela cavidade oral e vias aéreas, hipotensão, mucosas pálidas, temperatura 37,9ºC e ataxia. Enquanto o paciente era acessado para estabilização, a mesma apresentou parada cardiorrespiratória. Foi realizada manobra de reanimação/massagem cardíaca, aplicação de atropina e adrenalina, sem sucesso. Óbito +/-07:30.</t>
        </is>
      </c>
      <c r="R35" s="12" t="inlineStr"/>
      <c r="S35" s="12" t="inlineStr"/>
    </row>
    <row r="36">
      <c r="A36" s="11" t="inlineStr">
        <is>
          <t>Vn050-25</t>
        </is>
      </c>
      <c r="B36" s="11" t="inlineStr">
        <is>
          <t>PDF — laudo fechado</t>
        </is>
      </c>
      <c r="C36" s="11" t="inlineStr">
        <is>
          <t>Vn050-25.pdf</t>
        </is>
      </c>
      <c r="D36" s="12" t="inlineStr">
        <is>
          <t>27/05/2025</t>
        </is>
      </c>
      <c r="E36" s="12" t="inlineStr">
        <is>
          <t>Kid/Rg124449</t>
        </is>
      </c>
      <c r="F36" s="12" t="inlineStr">
        <is>
          <t>canino</t>
        </is>
      </c>
      <c r="G36" s="12" t="inlineStr">
        <is>
          <t>Poodle</t>
        </is>
      </c>
      <c r="H36" s="12" t="inlineStr">
        <is>
          <t>macho</t>
        </is>
      </c>
      <c r="I36" s="12" t="inlineStr">
        <is>
          <t>16 anos</t>
        </is>
      </c>
      <c r="J36" s="12" t="inlineStr">
        <is>
          <t>Adão César Oliveira Ferreira</t>
        </is>
      </c>
      <c r="K36" s="12" t="inlineStr">
        <is>
          <t>Natália Cristina Schumacher</t>
        </is>
      </c>
      <c r="L36" s="12" t="inlineStr">
        <is>
          <t>HVU-UFSM</t>
        </is>
      </c>
      <c r="M36" s="12" t="inlineStr">
        <is>
          <t>HVU</t>
        </is>
      </c>
      <c r="N36" s="12" t="inlineStr">
        <is>
          <t>Pele (tecido subcutâneo e músculos subjacentes, membro pélvico esquerdo), hemangiossarcoma. Baço, pulmão, átrio direito, hemangiossarcoma. Rim, glomerulonefrite membranoproliferativa multifocal moderada com fibrose intersticial e cilindros hialinos multifocais. Coração, endocardiose (mitral) com hipertrofia do ventrículo esquerdo e dilatação atrial moderada. Testículo, epididimite neutrofílica multifocal acentuada.</t>
        </is>
      </c>
      <c r="O36" s="12" t="inlineStr">
        <is>
          <t>01/10/2025</t>
        </is>
      </c>
      <c r="P36" s="12" t="inlineStr">
        <is>
          <t>picada de aranha</t>
        </is>
      </c>
      <c r="Q36" s="12" t="inlineStr">
        <is>
          <t>paciente chegou no dia 13/05 no HVU com queixa de lesão em membro pélvico, edemaciado e com aspecto de picada de aranha. Poucos dias após veio a furo e drenava secreção sanguinolenta e após isso formava coágulos. Se apresentando anêmico desde o momento que foi internado. Realizado tratamento com predinisolona e miofenolato, e como não teve resposta significativa, foi realizada transfusão sanguínea, também não manteve o animal estável da parte da anemia. Os valores de ureia e creatinina estabilizaram durante a internação e foi orientado fazer o manejo da ferida em casa, sob condição de retornar ao HVU em 2 dias para reavaliar periodicamente a ferida. 4 dias após a alta, paciente retornou pior clinicamente, valores de ureia e creatinina aumentados, assim como FA, ALT e GGT. Faleceu no turno seguinte da internação. Tem histórico de tumor hemorrágico em tórax, retirado em 2024 e nódulos em baço. Não foi autorizado ultrassonografia no primeiro retorno em que foi internado.</t>
        </is>
      </c>
      <c r="R36" s="12" t="inlineStr"/>
      <c r="S36" s="12" t="inlineStr"/>
    </row>
    <row r="37">
      <c r="A37" s="11" t="inlineStr">
        <is>
          <t>Vn051-25</t>
        </is>
      </c>
      <c r="B37" s="11" t="inlineStr">
        <is>
          <t>PDF — laudo fechado</t>
        </is>
      </c>
      <c r="C37" s="11" t="inlineStr">
        <is>
          <t>Vn051-25.pdf</t>
        </is>
      </c>
      <c r="D37" s="12" t="inlineStr">
        <is>
          <t>29/05/2025</t>
        </is>
      </c>
      <c r="E37" s="12" t="inlineStr">
        <is>
          <t>Yasmin/Rg127985</t>
        </is>
      </c>
      <c r="F37" s="12" t="inlineStr">
        <is>
          <t>canino</t>
        </is>
      </c>
      <c r="G37" s="12" t="inlineStr">
        <is>
          <t>Akita</t>
        </is>
      </c>
      <c r="H37" s="12" t="inlineStr">
        <is>
          <t>fêmea</t>
        </is>
      </c>
      <c r="I37" s="12" t="inlineStr">
        <is>
          <t>9 anos</t>
        </is>
      </c>
      <c r="J37" s="12" t="inlineStr">
        <is>
          <t>Amanda Ávila Nos</t>
        </is>
      </c>
      <c r="K37" s="12" t="inlineStr">
        <is>
          <t>João Milke CRMV-RS</t>
        </is>
      </c>
      <c r="L37" s="12" t="inlineStr">
        <is>
          <t>HVU-UFSM</t>
        </is>
      </c>
      <c r="M37" s="12" t="inlineStr">
        <is>
          <t>HVU</t>
        </is>
      </c>
      <c r="N37" s="12" t="inlineStr">
        <is>
          <t>Cerebelo, presença de múltiplos corpúsculos de Lafora Encéfalo (córtex parietal, córtex occipital, córtex temporal, córtex frontal, ponte, mesencéfalo, tálamo, hipocampo, núcleos da base), sem alterações. Medula espinhal (cervical, cervico-torácica, torácica, toracolombar, sacral), sem alterações. Coluna vertebral, sem alterações. Nervos (ciáticos e plexo braquial, bilateral), sem alterações. Articulação coxofemoral direita, artrose difusa acentuada. Glândula mamária (M3-M4), carcinoma em tumor misto Útero, cistos de inclusão da serosa.</t>
        </is>
      </c>
      <c r="O37" s="12" t="inlineStr">
        <is>
          <t>02/10/2025</t>
        </is>
      </c>
      <c r="P37" s="12" t="inlineStr">
        <is>
          <t>polineuropatia ou mielopatia C6-T2</t>
        </is>
      </c>
      <c r="Q37" s="12" t="inlineStr">
        <is>
          <t>morte por eutanásia. Histórico de dificuldade locomotora a pelo menos seis meses, com piora nas últimas semanas. Quadro de anemia (Ht20%), chegou para consulta com tetraparesia não deambulatória, centralizada por fraqueza nos 4 membros. Reflexo patelar presente (normal); reflexo flexor reduzido nos 4 membros, com extensor cruzado nos MPs (sinal de lesão em segmento acima da lombossacral); sem dor a palpação epaxial; comportamento alterado, tutores relataram que era ativa, mas nas consultas sempre sonolenta. Exame físico, notado nódulos mamários (paciente não castrado) e isto em região escapular (feito CAAF). Alteração pulmonar em mediastino cranial. As suspeitas não estavam claras, mas acredito que trata de um quadro de polineuropatia (ainda sem causa confirmada). Porém, a presença de reflexo flexor reduzido, com extensor cruzado (extensão de um membro (MP) quando deveria estar inibido, observado no teste “reflexo flexor em retirada”) indicam alteração medular por compressão. Por se tratar de extensor cruzado em MPs, a lesão tende a ser em segmento medular cranial, ou seja, toracolombar, mas se for possível, gostaria que avaliassem o segmento medular cérvico-torácico (C6-T2), pois estavam dentro das suspeitas de localização. Exame radiográfico cérvico-torácico não constatou alterações morfológicas do corpo ventral, que indica tumor, mas revelou desvio da vertebra C7-T1, que poderia gerar compressão medular.</t>
        </is>
      </c>
      <c r="R37" s="12" t="inlineStr"/>
      <c r="S37" s="12" t="inlineStr"/>
    </row>
    <row r="38">
      <c r="A38" s="11" t="inlineStr">
        <is>
          <t>Vn052-25</t>
        </is>
      </c>
      <c r="B38" s="11" t="inlineStr">
        <is>
          <t>PDF — laudo fechado</t>
        </is>
      </c>
      <c r="C38" s="11" t="inlineStr">
        <is>
          <t>Vn052-25.pdf</t>
        </is>
      </c>
      <c r="D38" s="12" t="inlineStr">
        <is>
          <t>27/05/2025</t>
        </is>
      </c>
      <c r="E38" s="12" t="inlineStr">
        <is>
          <t>Grohe</t>
        </is>
      </c>
      <c r="F38" s="12" t="inlineStr">
        <is>
          <t>felino</t>
        </is>
      </c>
      <c r="G38" s="12" t="inlineStr">
        <is>
          <t>SRD</t>
        </is>
      </c>
      <c r="H38" s="12" t="inlineStr">
        <is>
          <t>macho</t>
        </is>
      </c>
      <c r="I38" s="12" t="inlineStr">
        <is>
          <t>8 anos</t>
        </is>
      </c>
      <c r="J38" s="12" t="inlineStr">
        <is>
          <t>Edilson Oliveira/Carmen</t>
        </is>
      </c>
      <c r="K38" s="12" t="inlineStr">
        <is>
          <t>Gabriella S. Santos CRMV-RS 21152</t>
        </is>
      </c>
      <c r="L38" s="12" t="inlineStr">
        <is>
          <t>Maia Pet Store</t>
        </is>
      </c>
      <c r="M38" s="12" t="inlineStr">
        <is>
          <t>Externo</t>
        </is>
      </c>
      <c r="N38" s="12" t="inlineStr">
        <is>
          <t>Coração, hipertrofia difusa moderada do ventrículo esquerdo com fibrose miocárdica multifocal leve. Pulmão, edema alveolar multifocal acentuado com congestão multifocal acentuada. Rim, nefrite intersticial linfoplasmocítica multifocal leve</t>
        </is>
      </c>
      <c r="O38" s="12" t="inlineStr">
        <is>
          <t>11/07/2025</t>
        </is>
      </c>
      <c r="P38" s="12" t="inlineStr">
        <is>
          <t>não consta</t>
        </is>
      </c>
      <c r="Q38" s="12" t="inlineStr">
        <is>
          <t>paciente teve um mal súbito em casa dia 27/05/2025 e veio a óbito. Passou por avaliação veterinária e solicita-se necropsia. 8 anos, SRD, FIV/FeLV negativo, apartamento telado, 3 dias que não vai nas plantas. Vomitou preto hoje.</t>
        </is>
      </c>
      <c r="R38" s="12" t="inlineStr"/>
      <c r="S38" s="12" t="inlineStr"/>
    </row>
    <row r="39">
      <c r="A39" s="11" t="inlineStr">
        <is>
          <t>Vn053-25</t>
        </is>
      </c>
      <c r="B39" s="11" t="inlineStr">
        <is>
          <t>PDF — laudo fechado</t>
        </is>
      </c>
      <c r="C39" s="11" t="inlineStr">
        <is>
          <t>Vn053-25 (canino Vandra).pdf</t>
        </is>
      </c>
      <c r="D39" s="12" t="inlineStr">
        <is>
          <t>27/05/2025</t>
        </is>
      </c>
      <c r="E39" s="12" t="inlineStr">
        <is>
          <t>Belinha</t>
        </is>
      </c>
      <c r="F39" s="12" t="inlineStr">
        <is>
          <t>canina</t>
        </is>
      </c>
      <c r="G39" s="12" t="inlineStr">
        <is>
          <t>não informado</t>
        </is>
      </c>
      <c r="H39" s="12" t="inlineStr">
        <is>
          <t>fêmea</t>
        </is>
      </c>
      <c r="I39" s="12" t="inlineStr">
        <is>
          <t>não informado</t>
        </is>
      </c>
      <c r="J39" s="12" t="inlineStr">
        <is>
          <t>não informado</t>
        </is>
      </c>
      <c r="K39" s="12" t="inlineStr">
        <is>
          <t>Vandra Padilha Machado</t>
        </is>
      </c>
      <c r="L39" s="12" t="inlineStr">
        <is>
          <t>Miaumiau Clínica Veterinária</t>
        </is>
      </c>
      <c r="M39" s="12" t="inlineStr">
        <is>
          <t>Externo</t>
        </is>
      </c>
      <c r="N39" s="12" t="inlineStr">
        <is>
          <t>Múltiplos órgãos, sem alterações.</t>
        </is>
      </c>
      <c r="O39" s="12" t="inlineStr">
        <is>
          <t>03/10/2025</t>
        </is>
      </c>
      <c r="P39" s="12" t="inlineStr">
        <is>
          <t>não informado</t>
        </is>
      </c>
      <c r="Q39" s="12" t="inlineStr">
        <is>
          <t>paciente “belinha”, município de Encantado.</t>
        </is>
      </c>
      <c r="R39" s="12" t="inlineStr"/>
      <c r="S39" s="12" t="inlineStr"/>
    </row>
    <row r="40">
      <c r="A40" s="11" t="inlineStr">
        <is>
          <t>Vn054-25</t>
        </is>
      </c>
      <c r="B40" s="11" t="inlineStr">
        <is>
          <t>PDF — laudo fechado</t>
        </is>
      </c>
      <c r="C40" s="11" t="inlineStr">
        <is>
          <t>Vn054-25 (ovino Labrumen).pdf</t>
        </is>
      </c>
      <c r="D40" s="12" t="inlineStr">
        <is>
          <t>29/05/2025</t>
        </is>
      </c>
      <c r="E40" s="12" t="inlineStr"/>
      <c r="F40" s="12" t="inlineStr">
        <is>
          <t>ovino</t>
        </is>
      </c>
      <c r="G40" s="12" t="inlineStr">
        <is>
          <t>Santa Inês</t>
        </is>
      </c>
      <c r="H40" s="12" t="inlineStr">
        <is>
          <t>macho</t>
        </is>
      </c>
      <c r="I40" s="12" t="inlineStr">
        <is>
          <t>3 anos</t>
        </is>
      </c>
      <c r="J40" s="12" t="inlineStr">
        <is>
          <t>Idem acima</t>
        </is>
      </c>
      <c r="K40" s="12" t="inlineStr">
        <is>
          <t>Gilberto Vilmar Kozloski</t>
        </is>
      </c>
      <c r="L40" s="12" t="inlineStr">
        <is>
          <t>DepZoot, UFSM</t>
        </is>
      </c>
      <c r="M40" s="12" t="inlineStr">
        <is>
          <t>Externo</t>
        </is>
      </c>
      <c r="N40" s="12" t="inlineStr">
        <is>
          <t>Fígado, abscesso hepático focal com miríades bacterianas cocoides intralesionais</t>
        </is>
      </c>
      <c r="O40" s="12" t="inlineStr">
        <is>
          <t>03/10/2025</t>
        </is>
      </c>
      <c r="P40" s="12" t="inlineStr">
        <is>
          <t>não consta</t>
        </is>
      </c>
      <c r="Q40" s="12" t="inlineStr">
        <is>
          <t>animal experimental canulados no rúmen e duodeno. Era mantido e recebia suplemento concentrado diariamente. Perda de condição corporal observada nos últimos dias. Amanheceu morto.</t>
        </is>
      </c>
      <c r="R40" s="12" t="inlineStr"/>
      <c r="S40" s="12" t="inlineStr"/>
    </row>
    <row r="41">
      <c r="A41" s="11" t="inlineStr">
        <is>
          <t>Vn055-25</t>
        </is>
      </c>
      <c r="B41" s="11" t="inlineStr">
        <is>
          <t>PDF — laudo fechado</t>
        </is>
      </c>
      <c r="C41" s="11" t="inlineStr">
        <is>
          <t>Vn055-25.pdf</t>
        </is>
      </c>
      <c r="D41" s="12" t="inlineStr">
        <is>
          <t>04/05/2025</t>
        </is>
      </c>
      <c r="E41" s="12" t="inlineStr">
        <is>
          <t>“Marry” 126.743</t>
        </is>
      </c>
      <c r="F41" s="12" t="inlineStr">
        <is>
          <t>felina</t>
        </is>
      </c>
      <c r="G41" s="12" t="inlineStr">
        <is>
          <t>SRD</t>
        </is>
      </c>
      <c r="H41" s="12" t="inlineStr">
        <is>
          <t>fêmea</t>
        </is>
      </c>
      <c r="I41" s="12" t="inlineStr">
        <is>
          <t>5 anos</t>
        </is>
      </c>
      <c r="J41" s="12" t="inlineStr">
        <is>
          <t>não informado</t>
        </is>
      </c>
      <c r="K41" s="12" t="inlineStr">
        <is>
          <t>Júlia Griesang CRMV-RS 21179</t>
        </is>
      </c>
      <c r="L41" s="12" t="inlineStr">
        <is>
          <t>HVU-UFSM</t>
        </is>
      </c>
      <c r="M41" s="12" t="inlineStr">
        <is>
          <t>HVU</t>
        </is>
      </c>
      <c r="N41" s="12" t="inlineStr">
        <is>
          <t>Coração, hipertrofia ventricular esquerda excêntrica difusa acentuada com fibrose miocárdica multifocal leve e desorganização das fibras cardíacas (cardiomiopatia hipertrófica). Pulmão, edema e congestão multifocal acentuado. Rim, glomeruloliferativa proliferativa multifocal moderada. Rim, nefrite intersticial crônica leve.</t>
        </is>
      </c>
      <c r="O41" s="12" t="inlineStr">
        <is>
          <t>17/09/2025</t>
        </is>
      </c>
      <c r="P41" s="12" t="inlineStr">
        <is>
          <t>não informado</t>
        </is>
      </c>
      <c r="Q41" s="12" t="inlineStr">
        <is>
          <t>segundo remetente, paciente foi castrada em fevereiro, voltou para remoção de ovário remanescente em 30/05, dia 31/05 começou a ficar mais apático e nauseada; 01/06 internou. Exames apontam 5,12 de creatinina e 187,2 de ureia. Dia 03/06 começou com intensa dificuldade respiratória de forma aguda, ausculta compatível com edema, inicialmente respondendo a diuréticos. No período da noite não estava respondendo mais. Veio a óbito dia 03/06 às 23:50. Tentado reanimação sem sucesso.</t>
        </is>
      </c>
      <c r="R41" s="12" t="inlineStr"/>
      <c r="S41" s="12" t="inlineStr"/>
    </row>
    <row r="42">
      <c r="A42" s="11" t="inlineStr">
        <is>
          <t>Vn056-25</t>
        </is>
      </c>
      <c r="B42" s="11" t="inlineStr">
        <is>
          <t>PDF — laudo fechado</t>
        </is>
      </c>
      <c r="C42" s="11" t="inlineStr">
        <is>
          <t>Vn056-25.pdf</t>
        </is>
      </c>
      <c r="D42" s="12" t="inlineStr">
        <is>
          <t>05/06/2025</t>
        </is>
      </c>
      <c r="E42" s="12" t="inlineStr">
        <is>
          <t>126375</t>
        </is>
      </c>
      <c r="F42" s="12" t="inlineStr">
        <is>
          <t>canina</t>
        </is>
      </c>
      <c r="G42" s="12" t="inlineStr">
        <is>
          <t>Rottweiler</t>
        </is>
      </c>
      <c r="H42" s="12" t="inlineStr">
        <is>
          <t>fêmea</t>
        </is>
      </c>
      <c r="I42" s="12" t="inlineStr">
        <is>
          <t>5 anos</t>
        </is>
      </c>
      <c r="J42" s="12" t="inlineStr">
        <is>
          <t>não informado</t>
        </is>
      </c>
      <c r="K42" s="12" t="inlineStr">
        <is>
          <t>Júlia Rauber/ Alexandre Mazzanti</t>
        </is>
      </c>
      <c r="L42" s="12" t="inlineStr">
        <is>
          <t>HVU-UFSM</t>
        </is>
      </c>
      <c r="M42" s="12" t="inlineStr">
        <is>
          <t>HVU</t>
        </is>
      </c>
      <c r="N42" s="12" t="inlineStr">
        <is>
          <t>Músculos da coluna cervical, miosite piogranulomatosa crônica acentuada com fibrose e atrofia das fibras musculares associado a presença de espinho (sugestivo de espinho de Coendou sp.) e de bactérias filamentosas intralesionais. Vértebras cervicais, escoliose acentuada. Pulmão, broncopneumonia supurativa multifocal a coalescente acentuada. Rim, glomerulonefrite membranosa global multifocal moderada com cilindros intratubulares hialinos multifocais.</t>
        </is>
      </c>
      <c r="O42" s="12" t="inlineStr">
        <is>
          <t>23/12/2025</t>
        </is>
      </c>
      <c r="P42" s="12" t="inlineStr"/>
      <c r="Q42" s="12" t="inlineStr">
        <is>
          <t>segundo remetente, veio para consulta com o serviço de neurologia há 2 dias. No histórico, tutores relatam que há 6 meses ela atacou um porco espinho, desde então começou a apresentar secreção purulenta na região cervical. Foi tratada com antibióticos, melhorava por um tempo e depois voltava a drenar pus das feridas. Foi tentado tratar as feridas com antibióticos curativos com açúcar. Nesse período o animal começou a desenvolver escoliose e contraturas musculares na musculatura cervical. Há 2 semanas ficou tetraparética não ambulatória. Apresentava sinais compatíveis com osteomielite em C3-C4. Paciente estava anêmica, com hipoalbunemia, leucocitose com desvio a esquerda e hipotermia. Iniciado antibiótico terapia para estabilizar o animal e realizar exame de imagem e debridamento cirúrgico da ferida e para descompressão medular. Na internação foi aplicado metadona e midazolan para analgesia e relaxamento muscular, depois disso o animal começou a salivar muito e apresentou extertor respiratório. No RX, sinais compatíveis com paneumonia. Foi observado que o paciente não conseguia deglutir. Foi aspirado a saliva acumulada na traqueia, boca e esôfago e animal voltou a respirar. Identificada dilatação esofágica na porção torácica também. Sugerido colocação de sonda gástrica, tutores optaram pela eutanásia.</t>
        </is>
      </c>
      <c r="R42" s="12" t="inlineStr"/>
      <c r="S42" s="12" t="inlineStr"/>
    </row>
    <row r="43">
      <c r="A43" s="11" t="inlineStr">
        <is>
          <t>Vn059-25</t>
        </is>
      </c>
      <c r="B43" s="11" t="inlineStr">
        <is>
          <t>PDF — laudo fechado</t>
        </is>
      </c>
      <c r="C43" s="11" t="inlineStr">
        <is>
          <t>Vn059-25 (equino torção).pdf</t>
        </is>
      </c>
      <c r="D43" s="12" t="inlineStr">
        <is>
          <t>16/06/2025</t>
        </is>
      </c>
      <c r="E43" s="12" t="inlineStr">
        <is>
          <t>Tordilho/Rg 128314</t>
        </is>
      </c>
      <c r="F43" s="12" t="inlineStr">
        <is>
          <t>equino</t>
        </is>
      </c>
      <c r="G43" s="12" t="inlineStr">
        <is>
          <t>SRD</t>
        </is>
      </c>
      <c r="H43" s="12" t="inlineStr">
        <is>
          <t>macho</t>
        </is>
      </c>
      <c r="I43" s="12" t="inlineStr">
        <is>
          <t>9 anos</t>
        </is>
      </c>
      <c r="J43" s="12" t="inlineStr">
        <is>
          <t>Ananda Uliana</t>
        </is>
      </c>
      <c r="K43" s="12" t="inlineStr">
        <is>
          <t>Flávio Desessards De La Côrte</t>
        </is>
      </c>
      <c r="L43" s="12" t="inlineStr">
        <is>
          <t>HVU-UFSM</t>
        </is>
      </c>
      <c r="M43" s="12" t="inlineStr">
        <is>
          <t>HVU</t>
        </is>
      </c>
      <c r="N43" s="12" t="inlineStr">
        <is>
          <t>Intestino delgado (jejuno) e mesentério, encarceramento segmentar em defeito mesentérico focal com estrangulamento, congestão, edema, necrose e hemorragia transmurais acentuados. Cavidade abdominal, hidroperitônio (transudato modificado). Pulmão, edema multifocal acentuado com congestão. Estômago, úlceras multifocais.</t>
        </is>
      </c>
      <c r="O43" s="12" t="inlineStr">
        <is>
          <t>03/10/2025</t>
        </is>
      </c>
      <c r="P43" s="12" t="inlineStr">
        <is>
          <t>encarceramento intestinal</t>
        </is>
      </c>
      <c r="Q43" s="12" t="inlineStr">
        <is>
          <t>com histórico de ter apresentado quadro intenso de desconforto abdominal às 10h do dia 15 de junho, foi atendido por médico veterinário na propriedade de origem. Após sedação e aplicação de analgesia com flunixin meglumine, o mesmo não apresentou significativa redução de desconforto. Em sondagem nasogástrica, presença de refluxo. Após uma hora de aplicação de analgésico, cavalo voltou a apresentar piora no quadro de desconforto, sendo encaminhado ao HVU-UFSM. Na chegada, apresentava-se em decúbito lateral esquerdo no caminhão, estando inquieto e desconfortável toda viagem. Ao sair do caminhão seguia com desconforto muito intenso, tentando se jogar. Realizada sedação a qual não apresentou nenhuma alteração no quadro. Em sondagem, presença de 1 litro de refluxo. Devido ao intenso desconforto, foi encaminhado diretamente ao bloco cirúrgico. Após acesso à cavidade abdominal, em inspeção foi identificado um ponto de encarceramento de intestino delgado em um espaço sugestivo de ruptura parcial do ligamento nefroesplênico. Devido ao edema de alças, não foi possível desfazer devido ao edema das alças, sendo necessário a transecção de parte do ligamento para que as alças fossem retiradas. Após exposição de aproximadamente 7 metros de intestino delgado desvitalizado, houve novo ponto de encarceramento, sem que fosse possível identificar o local. Após desfeito, com uso de tesoura, a totalidade de intestino delgado comprometido somava 9 metros. Durante manipulação, houve rupturas em alguns segmentos do mesentério, com comprometimento de alguns vasos importantes, causando certa hemorragia abdominal. Tendo em vista o extenso segmento afetado, as lesões já presentes em mesentério e o prognóstico reservado a desfavorável, foi autorizada pelo proprietário a eutanásia do animal, por motivos humanitários.</t>
        </is>
      </c>
      <c r="R43" s="12" t="inlineStr"/>
      <c r="S43" s="12" t="inlineStr"/>
    </row>
    <row r="44">
      <c r="A44" s="15" t="inlineStr">
        <is>
          <t>Vn064-26</t>
        </is>
      </c>
      <c r="B44" s="15" t="inlineStr">
        <is>
          <t>SEM ARQUIVO na pasta</t>
        </is>
      </c>
      <c r="C44" s="15" t="inlineStr"/>
      <c r="D44" s="12" t="inlineStr"/>
      <c r="E44" s="12" t="inlineStr"/>
      <c r="F44" s="12" t="inlineStr"/>
      <c r="G44" s="12" t="inlineStr"/>
      <c r="H44" s="12" t="inlineStr"/>
      <c r="I44" s="12" t="inlineStr"/>
      <c r="J44" s="12" t="inlineStr"/>
      <c r="K44" s="12" t="inlineStr"/>
      <c r="L44" s="12" t="inlineStr"/>
      <c r="M44" s="12" t="inlineStr"/>
      <c r="N44" s="12" t="inlineStr"/>
      <c r="O44" s="12" t="inlineStr"/>
      <c r="P44" s="12" t="inlineStr"/>
      <c r="Q44" s="12" t="inlineStr"/>
      <c r="R44" s="12" t="inlineStr"/>
      <c r="S44" s="14" t="inlineStr"/>
      <c r="T44" t="inlineStr">
        <is>
          <t>Não há PDF nem Word para este protocolo.</t>
        </is>
      </c>
    </row>
    <row r="45">
      <c r="A45" s="13" t="inlineStr">
        <is>
          <t>Vn066-26</t>
        </is>
      </c>
      <c r="B45" s="13" t="inlineStr">
        <is>
          <t>Word — em aberto</t>
        </is>
      </c>
      <c r="C45" s="13" t="inlineStr">
        <is>
          <t>Vn066-26.docx</t>
        </is>
      </c>
      <c r="D45" s="12" t="inlineStr">
        <is>
          <t>04/05/26</t>
        </is>
      </c>
      <c r="E45" s="12" t="inlineStr">
        <is>
          <t>Felicio/Rg131620</t>
        </is>
      </c>
      <c r="F45" s="12" t="inlineStr">
        <is>
          <t>felina</t>
        </is>
      </c>
      <c r="G45" s="12" t="inlineStr">
        <is>
          <t>SRD</t>
        </is>
      </c>
      <c r="H45" s="12" t="inlineStr">
        <is>
          <t>macho</t>
        </is>
      </c>
      <c r="I45" s="12" t="inlineStr">
        <is>
          <t>8 anos</t>
        </is>
      </c>
      <c r="J45" s="12" t="inlineStr">
        <is>
          <t>Maria Cristina Ribas da Silva</t>
        </is>
      </c>
      <c r="K45" s="12" t="inlineStr">
        <is>
          <t>Bruna Pacheco de Freitas/CRMV-RS23793</t>
        </is>
      </c>
      <c r="L45" s="12" t="inlineStr">
        <is>
          <t>HVU-UFSM</t>
        </is>
      </c>
      <c r="M45" s="12" t="inlineStr">
        <is>
          <t>HVU</t>
        </is>
      </c>
      <c r="N45" s="12" t="inlineStr"/>
      <c r="O45" s="12" t="inlineStr">
        <is>
          <t>em andamento</t>
        </is>
      </c>
      <c r="P45" s="12" t="inlineStr">
        <is>
          <t>não informado</t>
        </is>
      </c>
      <c r="Q45" s="12" t="inlineStr">
        <is>
          <t>alteração em medula?? Leucograma com alterações bastante significativas, alteração em FA (diminuída)/hipotenso e hiperglicêmico nas últimas 48h.</t>
        </is>
      </c>
      <c r="R45" s="12" t="inlineStr"/>
      <c r="S45" s="12" t="inlineStr"/>
    </row>
    <row r="46">
      <c r="A46" s="15" t="inlineStr">
        <is>
          <t>Vn073-26</t>
        </is>
      </c>
      <c r="B46" s="15" t="inlineStr">
        <is>
          <t>SEM ARQUIVO na pasta</t>
        </is>
      </c>
      <c r="C46" s="15" t="inlineStr"/>
      <c r="D46" s="12" t="inlineStr"/>
      <c r="E46" s="12" t="inlineStr"/>
      <c r="F46" s="12" t="inlineStr"/>
      <c r="G46" s="12" t="inlineStr"/>
      <c r="H46" s="12" t="inlineStr"/>
      <c r="I46" s="12" t="inlineStr"/>
      <c r="J46" s="12" t="inlineStr"/>
      <c r="K46" s="12" t="inlineStr"/>
      <c r="L46" s="12" t="inlineStr"/>
      <c r="M46" s="12" t="inlineStr"/>
      <c r="N46" s="12" t="inlineStr"/>
      <c r="O46" s="12" t="inlineStr"/>
      <c r="P46" s="12" t="inlineStr"/>
      <c r="Q46" s="12" t="inlineStr"/>
      <c r="R46" s="12" t="inlineStr"/>
      <c r="S46" s="14" t="inlineStr"/>
      <c r="T46" t="inlineStr">
        <is>
          <t>Não há PDF nem Word para este protocolo.</t>
        </is>
      </c>
    </row>
    <row r="47">
      <c r="A47" s="15" t="inlineStr">
        <is>
          <t>Vn074-26</t>
        </is>
      </c>
      <c r="B47" s="15" t="inlineStr">
        <is>
          <t>SEM ARQUIVO na pasta</t>
        </is>
      </c>
      <c r="C47" s="15" t="inlineStr"/>
      <c r="D47" s="12" t="inlineStr"/>
      <c r="E47" s="12" t="inlineStr"/>
      <c r="F47" s="12" t="inlineStr"/>
      <c r="G47" s="12" t="inlineStr"/>
      <c r="H47" s="12" t="inlineStr"/>
      <c r="I47" s="12" t="inlineStr"/>
      <c r="J47" s="12" t="inlineStr"/>
      <c r="K47" s="12" t="inlineStr"/>
      <c r="L47" s="12" t="inlineStr"/>
      <c r="M47" s="12" t="inlineStr"/>
      <c r="N47" s="12" t="inlineStr"/>
      <c r="O47" s="12" t="inlineStr"/>
      <c r="P47" s="12" t="inlineStr"/>
      <c r="Q47" s="12" t="inlineStr"/>
      <c r="R47" s="12" t="inlineStr"/>
      <c r="S47" s="14" t="inlineStr"/>
      <c r="T47" t="inlineStr">
        <is>
          <t>Não há PDF nem Word para este protocolo.</t>
        </is>
      </c>
    </row>
    <row r="48">
      <c r="A48" s="13" t="inlineStr">
        <is>
          <t>Vn076-26</t>
        </is>
      </c>
      <c r="B48" s="13" t="inlineStr">
        <is>
          <t>Word — em aberto</t>
        </is>
      </c>
      <c r="C48" s="13" t="inlineStr">
        <is>
          <t>Vn 076-26.docx</t>
        </is>
      </c>
      <c r="D48" s="12" t="inlineStr">
        <is>
          <t>26/05/2026</t>
        </is>
      </c>
      <c r="E48" s="12" t="inlineStr">
        <is>
          <t>RG128352</t>
        </is>
      </c>
      <c r="F48" s="12" t="inlineStr"/>
      <c r="G48" s="12" t="inlineStr">
        <is>
          <t>Yorkshire</t>
        </is>
      </c>
      <c r="H48" s="12" t="inlineStr">
        <is>
          <t>macho</t>
        </is>
      </c>
      <c r="I48" s="12" t="inlineStr">
        <is>
          <t>11 anos</t>
        </is>
      </c>
      <c r="J48" s="12" t="inlineStr">
        <is>
          <t>Maria Julia Couto de Oliveira</t>
        </is>
      </c>
      <c r="K48" s="12" t="inlineStr">
        <is>
          <t>Amanda Miwa Sekita</t>
        </is>
      </c>
      <c r="L48" s="12" t="inlineStr">
        <is>
          <t>HVU UFSM</t>
        </is>
      </c>
      <c r="M48" s="12" t="inlineStr">
        <is>
          <t>HVU</t>
        </is>
      </c>
      <c r="N48" s="12" t="inlineStr"/>
      <c r="O48" s="12" t="inlineStr">
        <is>
          <t>em andamento</t>
        </is>
      </c>
      <c r="P48" s="12" t="inlineStr">
        <is>
          <t>glioma, doença inflamatória</t>
        </is>
      </c>
      <c r="Q48" s="12" t="inlineStr">
        <is>
          <t>segundo o remetente, “faz uso de fenobarbital desde setembro do ano passado para controle de crises epilépticas, mas nunca investigaram a causa. Na quinta-feira (21/05/2026) foi atendido com a queixa de vômito, anorexia, desequilíbrio, andar em círculos para a direita. No exame neurológico apresentou nistagmo vertical, estrabismo ventral esquerdo e andar em círculo direita. Durante o final de semana apresentou uma crise vestibular e foi piorando o quadro, andando mais em círculo e ficando mais sonolento. Foi reavaliado na segunda-feira e a suspeita era uma lesão multifocal encefálica (córtex, tálamo e tronco encefálico). Realizada tomografia computadorizada hoje (26/05/2026), que mostrou lesão em região temporal direita e cerebelo.</t>
        </is>
      </c>
      <c r="R48" s="12" t="inlineStr"/>
      <c r="S48" s="14" t="inlineStr">
        <is>
          <t>Campo "Especie" em branco no proprio laudo (raca informada: Yorkshire).</t>
        </is>
      </c>
    </row>
    <row r="49">
      <c r="A49" s="13" t="inlineStr">
        <is>
          <t>Vn077-26</t>
        </is>
      </c>
      <c r="B49" s="13" t="inlineStr">
        <is>
          <t>Word — em aberto</t>
        </is>
      </c>
      <c r="C49" s="13" t="inlineStr">
        <is>
          <t>Vn 077-26.docx</t>
        </is>
      </c>
      <c r="D49" s="12" t="inlineStr">
        <is>
          <t>28/05/2026</t>
        </is>
      </c>
      <c r="E49" s="12" t="inlineStr">
        <is>
          <t>Hakin RG131954</t>
        </is>
      </c>
      <c r="F49" s="12" t="inlineStr">
        <is>
          <t>canino</t>
        </is>
      </c>
      <c r="G49" s="12" t="inlineStr">
        <is>
          <t>SRD</t>
        </is>
      </c>
      <c r="H49" s="12" t="inlineStr">
        <is>
          <t>macho</t>
        </is>
      </c>
      <c r="I49" s="12" t="inlineStr">
        <is>
          <t>6 anos</t>
        </is>
      </c>
      <c r="J49" s="12" t="inlineStr">
        <is>
          <t>Eliziane Carvalho Saraiva</t>
        </is>
      </c>
      <c r="K49" s="12" t="inlineStr">
        <is>
          <t>Amanda Miwa Sekita/ Diego Beckmann</t>
        </is>
      </c>
      <c r="L49" s="12" t="inlineStr"/>
      <c r="M49" s="12" t="inlineStr"/>
      <c r="N49" s="12" t="inlineStr"/>
      <c r="O49" s="12" t="inlineStr">
        <is>
          <t>em andamento</t>
        </is>
      </c>
      <c r="P49" s="12" t="inlineStr">
        <is>
          <t>extrusão de disco</t>
        </is>
      </c>
      <c r="Q49" s="12" t="inlineStr">
        <is>
          <t>Segundo o remetente, “No domingo ficou um pouco apático. De domingo para segunda de madrugada parou de caminhar de forma aguda com os membros pélvicos. Foi levado no veterinário no domingo, realizado exame de sangue e ultrassom, que não mostraram alteração, pois acreditavam ser intoxxicação por veneno de rato. Após parar de caminhar chamaram um veterinário que medicou com gabapentina, cronidor e prednisolona. Foi atendida hoje pelo Setor de Neurologia apresentando paraplegia sem nocicepção dos membros pélvicos , dor lombar, reflexos espinhais negativos e reflexo cutâneo de tronco em T13. Foi realizado tomografia computadorizada e encontrado compressão em L2-L3, lado esquerdo, sendo a principal suspeita a extrusão de disco. Porém, devido aos reflexos negativos tem suspeita de mielomalácia.</t>
        </is>
      </c>
      <c r="R49" s="12" t="inlineStr"/>
      <c r="S49" s="14" t="inlineStr">
        <is>
          <t>Campo "Clinica/empresa" em branco no proprio laudo.</t>
        </is>
      </c>
    </row>
    <row r="50">
      <c r="A50" s="13" t="inlineStr">
        <is>
          <t>Vn082-26</t>
        </is>
      </c>
      <c r="B50" s="13" t="inlineStr">
        <is>
          <t>Word — em aberto</t>
        </is>
      </c>
      <c r="C50" s="13" t="inlineStr">
        <is>
          <t>Vn082-26.docx</t>
        </is>
      </c>
      <c r="D50" s="12" t="inlineStr">
        <is>
          <t>03/06/26</t>
        </is>
      </c>
      <c r="E50" s="12" t="inlineStr">
        <is>
          <t>NN Invocada 25/Rg131999</t>
        </is>
      </c>
      <c r="F50" s="12" t="inlineStr">
        <is>
          <t>equina</t>
        </is>
      </c>
      <c r="G50" s="12" t="inlineStr">
        <is>
          <t>PSI</t>
        </is>
      </c>
      <c r="H50" s="12" t="inlineStr">
        <is>
          <t>macho</t>
        </is>
      </c>
      <c r="I50" s="12" t="inlineStr">
        <is>
          <t>7 meses</t>
        </is>
      </c>
      <c r="J50" s="12" t="inlineStr">
        <is>
          <t>Haras Old Friends</t>
        </is>
      </c>
      <c r="K50" s="12" t="inlineStr">
        <is>
          <t>Prof. Flávio Desessards De La Côrte</t>
        </is>
      </c>
      <c r="L50" s="12" t="inlineStr">
        <is>
          <t>HVU-UFSM</t>
        </is>
      </c>
      <c r="M50" s="12" t="inlineStr">
        <is>
          <t>HVU</t>
        </is>
      </c>
      <c r="N50" s="12" t="inlineStr"/>
      <c r="O50" s="12" t="inlineStr">
        <is>
          <t>em andamento</t>
        </is>
      </c>
      <c r="P50" s="12" t="inlineStr">
        <is>
          <t>não informado</t>
        </is>
      </c>
      <c r="Q50" s="12" t="inlineStr">
        <is>
          <t>Potranca encaminhada com histórico de presença de febre, apatia e leucopenia com evolução de 4 dias. Quando iniciaram os sintomas, foi iniciada administração de antibioticoterapia com uso de penicilina e gentamicina, além de antiinflamatórios (flunexin meglumini), dipirona, protetor gástrico e fluidoterapia. Asculta pulmonar limpa. No quarto dia de tratamento, seguia apresentando apatia principalmente no final da tarde, sempre com presença de temperatura em torno de 39,5º. Em exame ultrassonográfico transabdominal, presença de líquido livre, o que motivou o encaminhamento Na chegada, potro apresentava-se apático, hipomotílico e com bruxismo. Parâmetros clínicos: FC 100 bpm, FR 36 mrpm, TPC 3 segundos, T 38,2, Ht 50, PPT 4,8 e glicose 90. Em us transabdominal, pouca motilidade em cólon, com bastante presença de conteúdo. Intestino delgado com motilidade e sem distensão nem alteração de parede. Presença de líquido abdominal livre sem presença de celularidade e com presença de fibrina. Asculta pulmonar e exame ultrassonográfico torácico sem alterações. Foi dado seguimento na entibioticoterapia com penicilina e gentamicina, além de administração de sucralfato, flunexin e dipirona. Realizou-se suplementação de glicose, plasmoterapia e fluidoterapia. Potro passou a noite estável e pela manhã iniciou a redução de parâmetros clínicos, sem grande melhora da apatia. Urina apresentava-se amarelo escura, evoluindo para avermelhada, defecou apenas uma cíbala, pastosa, sem presença de muco. Novo exame ultrassonográfico identificou aumento do líquido peritoneal, sem presença de celularidade. Realizada paracentese, com resultado de líquido amarelado, com resultado de lactato peritoneal 9,5. Desde a chegada, apresentava momentos em que cavava na cocheira, por alguns momentos. Ademais, sem sinais de desconforto. Foi dado seguimento no tratamento clínico, com suplementação diária de fluidoterapia, glicose, plasma e infusão de lidocaína objetivando melhorar quadro de hipomotilidade, de acordo com necessidade. Exame laboratoriais indicaram melhora no quadro de leucopenia, porém fibrinogênio seguia aumentado. Em alguns momentos demostrava apetite, com bom consumo de água, sem presença de hipertermia durante internação. Hidratação não apresentava melhoras significativas mesmo com bom consumo de água e reposição hidroeletrolítica. Após 36 horas de internação, começou a demonstrar piora no quadro de apatia, suor frio, movimentos intensos de cavar e desconforto abdominal. Em novo exame ultrassonográfico, presença de intestino delgado distendido, além de grande celularidade no líquido livre. Em paracentese, líquido de aspecto esbranquiçado, de odor fétido. Quadro em piora progressiva, com desconforto constante do equino, mesmo com uso de sedativos e suporte clínico. Devido degradação do quadro, em conjunto com o proprietário, foi optada por eutanásia do animal, por motivos humanitários.</t>
        </is>
      </c>
      <c r="R50" s="12" t="inlineStr"/>
      <c r="S50" s="12" t="inlineStr"/>
    </row>
    <row r="51">
      <c r="A51" s="13" t="inlineStr">
        <is>
          <t>Vn084-26</t>
        </is>
      </c>
      <c r="B51" s="13" t="inlineStr">
        <is>
          <t>Word — em aberto</t>
        </is>
      </c>
      <c r="C51" s="13" t="inlineStr">
        <is>
          <t>Vn084-26.docx</t>
        </is>
      </c>
      <c r="D51" s="12" t="inlineStr">
        <is>
          <t>11/06/26</t>
        </is>
      </c>
      <c r="E51" s="12" t="inlineStr">
        <is>
          <t>Preta/Rg131457</t>
        </is>
      </c>
      <c r="F51" s="12" t="inlineStr">
        <is>
          <t>canina</t>
        </is>
      </c>
      <c r="G51" s="12" t="inlineStr">
        <is>
          <t>SRD</t>
        </is>
      </c>
      <c r="H51" s="12" t="inlineStr">
        <is>
          <t>fêmea</t>
        </is>
      </c>
      <c r="I51" s="12" t="inlineStr">
        <is>
          <t>+/- 12 anos</t>
        </is>
      </c>
      <c r="J51" s="12" t="inlineStr">
        <is>
          <t>Dora Lourdes Wouters</t>
        </is>
      </c>
      <c r="K51" s="12" t="inlineStr">
        <is>
          <t>João Milke/Prof. Mazzantti</t>
        </is>
      </c>
      <c r="L51" s="12" t="inlineStr">
        <is>
          <t>HVU-UFSM</t>
        </is>
      </c>
      <c r="M51" s="12" t="inlineStr">
        <is>
          <t>HVU</t>
        </is>
      </c>
      <c r="N51" s="12" t="inlineStr"/>
      <c r="O51" s="12" t="inlineStr">
        <is>
          <t>em andamento</t>
        </is>
      </c>
      <c r="P51" s="12" t="inlineStr">
        <is>
          <t>meningomielite/mielite inflamatória não infecciosa; disco espondilite ativa e protusões discais cervicais.</t>
        </is>
      </c>
      <c r="Q51" s="12" t="inlineStr">
        <is>
          <t>óbito espontâneo. Adotada com dificuldade locomotora. Exame neurológico= tetraparesia não deambulatória, apresentando síndrome medular central; reflexos flexores ausentes em MTs. Local da lesão = C1-C5 ou C6-T2. Análise do liquor = punção lombar pleocitose, linfócitos (600mm³) e 2316mg/dL de proteína; tomografia = discoespondilite de T5 a T12. Diagnostico = meningomielite/mielite inflamatória não infecciosa; discoespondilite ativa e protusões discais cervicais. Estava em tratamento p/ todas as condições, porem sem melhora clinica efetiva.</t>
        </is>
      </c>
      <c r="R51" s="12" t="inlineStr"/>
      <c r="S51" s="12" t="inlineStr"/>
    </row>
    <row r="52">
      <c r="A52" s="15" t="inlineStr">
        <is>
          <t>Vn085-26</t>
        </is>
      </c>
      <c r="B52" s="15" t="inlineStr">
        <is>
          <t>SEM ARQUIVO na pasta</t>
        </is>
      </c>
      <c r="C52" s="15" t="inlineStr"/>
      <c r="D52" s="12" t="inlineStr"/>
      <c r="E52" s="12" t="inlineStr"/>
      <c r="F52" s="12" t="inlineStr"/>
      <c r="G52" s="12" t="inlineStr"/>
      <c r="H52" s="12" t="inlineStr"/>
      <c r="I52" s="12" t="inlineStr"/>
      <c r="J52" s="12" t="inlineStr"/>
      <c r="K52" s="12" t="inlineStr"/>
      <c r="L52" s="12" t="inlineStr"/>
      <c r="M52" s="12" t="inlineStr"/>
      <c r="N52" s="12" t="inlineStr"/>
      <c r="O52" s="12" t="inlineStr"/>
      <c r="P52" s="12" t="inlineStr"/>
      <c r="Q52" s="12" t="inlineStr"/>
      <c r="R52" s="12" t="inlineStr"/>
      <c r="S52" s="14" t="inlineStr"/>
      <c r="T52" t="inlineStr">
        <is>
          <t>Não há PDF nem Word para este protocolo.</t>
        </is>
      </c>
    </row>
    <row r="53">
      <c r="A53" s="15" t="inlineStr">
        <is>
          <t>Vn086-26</t>
        </is>
      </c>
      <c r="B53" s="15" t="inlineStr">
        <is>
          <t>SEM ARQUIVO na pasta</t>
        </is>
      </c>
      <c r="C53" s="15" t="inlineStr"/>
      <c r="D53" s="12" t="inlineStr"/>
      <c r="E53" s="12" t="inlineStr"/>
      <c r="F53" s="12" t="inlineStr"/>
      <c r="G53" s="12" t="inlineStr"/>
      <c r="H53" s="12" t="inlineStr"/>
      <c r="I53" s="12" t="inlineStr"/>
      <c r="J53" s="12" t="inlineStr"/>
      <c r="K53" s="12" t="inlineStr"/>
      <c r="L53" s="12" t="inlineStr"/>
      <c r="M53" s="12" t="inlineStr"/>
      <c r="N53" s="12" t="inlineStr"/>
      <c r="O53" s="12" t="inlineStr"/>
      <c r="P53" s="12" t="inlineStr"/>
      <c r="Q53" s="12" t="inlineStr"/>
      <c r="R53" s="12" t="inlineStr"/>
      <c r="S53" s="14" t="inlineStr"/>
      <c r="T53" t="inlineStr">
        <is>
          <t>Não há PDF nem Word para este protocolo.</t>
        </is>
      </c>
    </row>
    <row r="54">
      <c r="A54" s="15" t="inlineStr">
        <is>
          <t>Vn087-26</t>
        </is>
      </c>
      <c r="B54" s="15" t="inlineStr">
        <is>
          <t>SEM ARQUIVO na pasta</t>
        </is>
      </c>
      <c r="C54" s="15" t="inlineStr"/>
      <c r="D54" s="12" t="inlineStr"/>
      <c r="E54" s="12" t="inlineStr"/>
      <c r="F54" s="12" t="inlineStr"/>
      <c r="G54" s="12" t="inlineStr"/>
      <c r="H54" s="12" t="inlineStr"/>
      <c r="I54" s="12" t="inlineStr"/>
      <c r="J54" s="12" t="inlineStr"/>
      <c r="K54" s="12" t="inlineStr"/>
      <c r="L54" s="12" t="inlineStr"/>
      <c r="M54" s="12" t="inlineStr"/>
      <c r="N54" s="12" t="inlineStr"/>
      <c r="O54" s="12" t="inlineStr"/>
      <c r="P54" s="12" t="inlineStr"/>
      <c r="Q54" s="12" t="inlineStr"/>
      <c r="R54" s="12" t="inlineStr"/>
      <c r="S54" s="14" t="inlineStr"/>
      <c r="T54" t="inlineStr">
        <is>
          <t>Não há PDF nem Word para este protocolo.</t>
        </is>
      </c>
    </row>
    <row r="55">
      <c r="A55" s="15" t="inlineStr">
        <is>
          <t>Vn088-26</t>
        </is>
      </c>
      <c r="B55" s="15" t="inlineStr">
        <is>
          <t>SEM ARQUIVO na pasta</t>
        </is>
      </c>
      <c r="C55" s="15" t="inlineStr"/>
      <c r="D55" s="12" t="inlineStr"/>
      <c r="E55" s="12" t="inlineStr"/>
      <c r="F55" s="12" t="inlineStr"/>
      <c r="G55" s="12" t="inlineStr"/>
      <c r="H55" s="12" t="inlineStr"/>
      <c r="I55" s="12" t="inlineStr"/>
      <c r="J55" s="12" t="inlineStr"/>
      <c r="K55" s="12" t="inlineStr"/>
      <c r="L55" s="12" t="inlineStr"/>
      <c r="M55" s="12" t="inlineStr"/>
      <c r="N55" s="12" t="inlineStr"/>
      <c r="O55" s="12" t="inlineStr"/>
      <c r="P55" s="12" t="inlineStr"/>
      <c r="Q55" s="12" t="inlineStr"/>
      <c r="R55" s="12" t="inlineStr"/>
      <c r="S55" s="14" t="inlineStr"/>
      <c r="T55" t="inlineStr">
        <is>
          <t>Não há PDF nem Word para este protocolo.</t>
        </is>
      </c>
    </row>
    <row r="56">
      <c r="A56" s="15" t="inlineStr">
        <is>
          <t>Vn089-26</t>
        </is>
      </c>
      <c r="B56" s="15" t="inlineStr">
        <is>
          <t>SEM ARQUIVO na pasta</t>
        </is>
      </c>
      <c r="C56" s="15" t="inlineStr"/>
      <c r="D56" s="12" t="inlineStr"/>
      <c r="E56" s="12" t="inlineStr"/>
      <c r="F56" s="12" t="inlineStr"/>
      <c r="G56" s="12" t="inlineStr"/>
      <c r="H56" s="12" t="inlineStr"/>
      <c r="I56" s="12" t="inlineStr"/>
      <c r="J56" s="12" t="inlineStr"/>
      <c r="K56" s="12" t="inlineStr"/>
      <c r="L56" s="12" t="inlineStr"/>
      <c r="M56" s="12" t="inlineStr"/>
      <c r="N56" s="12" t="inlineStr"/>
      <c r="O56" s="12" t="inlineStr"/>
      <c r="P56" s="12" t="inlineStr"/>
      <c r="Q56" s="12" t="inlineStr"/>
      <c r="R56" s="12" t="inlineStr"/>
      <c r="S56" s="14" t="inlineStr"/>
      <c r="T56" t="inlineStr">
        <is>
          <t>Não há PDF nem Word para este protocolo.</t>
        </is>
      </c>
    </row>
    <row r="57">
      <c r="A57" s="15" t="inlineStr">
        <is>
          <t>Vn090-26</t>
        </is>
      </c>
      <c r="B57" s="15" t="inlineStr">
        <is>
          <t>SEM ARQUIVO na pasta</t>
        </is>
      </c>
      <c r="C57" s="15" t="inlineStr"/>
      <c r="D57" s="12" t="inlineStr"/>
      <c r="E57" s="12" t="inlineStr"/>
      <c r="F57" s="12" t="inlineStr"/>
      <c r="G57" s="12" t="inlineStr"/>
      <c r="H57" s="12" t="inlineStr"/>
      <c r="I57" s="12" t="inlineStr"/>
      <c r="J57" s="12" t="inlineStr"/>
      <c r="K57" s="12" t="inlineStr"/>
      <c r="L57" s="12" t="inlineStr"/>
      <c r="M57" s="12" t="inlineStr"/>
      <c r="N57" s="12" t="inlineStr"/>
      <c r="O57" s="12" t="inlineStr"/>
      <c r="P57" s="12" t="inlineStr"/>
      <c r="Q57" s="12" t="inlineStr"/>
      <c r="R57" s="12" t="inlineStr"/>
      <c r="S57" s="14" t="inlineStr"/>
      <c r="T57" t="inlineStr">
        <is>
          <t>Não há PDF nem Word para este protocolo.</t>
        </is>
      </c>
    </row>
    <row r="58">
      <c r="A58" s="15" t="inlineStr">
        <is>
          <t>Vn091-26</t>
        </is>
      </c>
      <c r="B58" s="15" t="inlineStr">
        <is>
          <t>SEM ARQUIVO na pasta</t>
        </is>
      </c>
      <c r="C58" s="15" t="inlineStr"/>
      <c r="D58" s="12" t="inlineStr"/>
      <c r="E58" s="12" t="inlineStr"/>
      <c r="F58" s="12" t="inlineStr"/>
      <c r="G58" s="12" t="inlineStr"/>
      <c r="H58" s="12" t="inlineStr"/>
      <c r="I58" s="12" t="inlineStr"/>
      <c r="J58" s="12" t="inlineStr"/>
      <c r="K58" s="12" t="inlineStr"/>
      <c r="L58" s="12" t="inlineStr"/>
      <c r="M58" s="12" t="inlineStr"/>
      <c r="N58" s="12" t="inlineStr"/>
      <c r="O58" s="12" t="inlineStr"/>
      <c r="P58" s="12" t="inlineStr"/>
      <c r="Q58" s="12" t="inlineStr"/>
      <c r="R58" s="12" t="inlineStr"/>
      <c r="S58" s="14" t="inlineStr"/>
      <c r="T58" t="inlineStr">
        <is>
          <t>Não há PDF nem Word para este protocolo.</t>
        </is>
      </c>
    </row>
    <row r="59">
      <c r="A59" s="13" t="inlineStr">
        <is>
          <t>Vn100-26</t>
        </is>
      </c>
      <c r="B59" s="13" t="inlineStr">
        <is>
          <t>Word — em aberto</t>
        </is>
      </c>
      <c r="C59" s="13" t="inlineStr">
        <is>
          <t>Vn100-26.docx</t>
        </is>
      </c>
      <c r="D59" s="12" t="inlineStr">
        <is>
          <t>29/06/2026</t>
        </is>
      </c>
      <c r="E59" s="12" t="inlineStr">
        <is>
          <t>Roliço</t>
        </is>
      </c>
      <c r="F59" s="12" t="inlineStr">
        <is>
          <t>canino</t>
        </is>
      </c>
      <c r="G59" s="12" t="inlineStr">
        <is>
          <t>SRD</t>
        </is>
      </c>
      <c r="H59" s="12" t="inlineStr">
        <is>
          <t>macho</t>
        </is>
      </c>
      <c r="I59" s="12" t="inlineStr">
        <is>
          <t>não informada</t>
        </is>
      </c>
      <c r="J59" s="12" t="inlineStr">
        <is>
          <t>Kelly Vasconcelos</t>
        </is>
      </c>
      <c r="K59" s="12" t="inlineStr">
        <is>
          <t>Magali Fernandes de Oliveira CRMV11354</t>
        </is>
      </c>
      <c r="L59" s="12" t="inlineStr">
        <is>
          <t>Hospital Veterinário Central Vet</t>
        </is>
      </c>
      <c r="M59" s="12" t="inlineStr">
        <is>
          <t>Externo</t>
        </is>
      </c>
      <c r="N59" s="12" t="inlineStr"/>
      <c r="O59" s="12" t="inlineStr">
        <is>
          <t>em andamento</t>
        </is>
      </c>
      <c r="P59" s="12" t="inlineStr"/>
      <c r="Q59" s="12" t="inlineStr">
        <is>
          <t>segundo o remetente, “paciente com histórico de hipersensibilidade alimentar; gastroenterite crônica; cistite crônica. Paciente paraplégico; iniciou dispneia nos últimos dias, raio-x de tórax mostrou efusão, broncopatia e abscesso ou neoplasia em tórax”.</t>
        </is>
      </c>
      <c r="R59" s="12" t="inlineStr"/>
      <c r="S59" s="12" t="inlineStr"/>
    </row>
    <row r="60">
      <c r="A60" s="13" t="inlineStr">
        <is>
          <t>Vn102-26</t>
        </is>
      </c>
      <c r="B60" s="13" t="inlineStr">
        <is>
          <t>Word — em aberto</t>
        </is>
      </c>
      <c r="C60" s="13" t="inlineStr">
        <is>
          <t>Vn102-26.docx</t>
        </is>
      </c>
      <c r="D60" s="12" t="inlineStr">
        <is>
          <t>02/07/2026</t>
        </is>
      </c>
      <c r="E60" s="12" t="inlineStr">
        <is>
          <t>Zonye RG132265</t>
        </is>
      </c>
      <c r="F60" s="12" t="inlineStr">
        <is>
          <t>felino</t>
        </is>
      </c>
      <c r="G60" s="12" t="inlineStr">
        <is>
          <t>SRD</t>
        </is>
      </c>
      <c r="H60" s="12" t="inlineStr">
        <is>
          <t>macho</t>
        </is>
      </c>
      <c r="I60" s="12" t="inlineStr">
        <is>
          <t>17 anos</t>
        </is>
      </c>
      <c r="J60" s="12" t="inlineStr">
        <is>
          <t>Tatiana Sarturi Siqueira</t>
        </is>
      </c>
      <c r="K60" s="12" t="inlineStr">
        <is>
          <t>Ana Paula da Silva CRMV 9515</t>
        </is>
      </c>
      <c r="L60" s="12" t="inlineStr">
        <is>
          <t>HVU UFSM</t>
        </is>
      </c>
      <c r="M60" s="12" t="inlineStr">
        <is>
          <t>HVU</t>
        </is>
      </c>
      <c r="N60" s="12" t="inlineStr"/>
      <c r="O60" s="12" t="inlineStr">
        <is>
          <t>em andamento</t>
        </is>
      </c>
      <c r="P60" s="12" t="inlineStr">
        <is>
          <t>segundo o remetente, “não foi possível a realização do exame físico, pois animal chegou em parada cardirrespiratória. Resgatado de um vizinho, vivia com a tutora há seis anos. Tutora relata que desde ontem estava apresentando dificuldade respiratória e que tinha problemas intestinais crônicos, com vômito como principal sinal clínico. Há quatro meses realizou radiografia de tórax e não foram encontradas alterações. Não testado para FIV/FeLV, vacinado com quíntupla.”</t>
        </is>
      </c>
      <c r="Q60" s="12" t="inlineStr">
        <is>
          <t>segundo o remetente, “paciente chegou em parada cardiorrespiratória. Tentativas de reanimação sem sucesso.”</t>
        </is>
      </c>
      <c r="R60" s="12" t="inlineStr"/>
      <c r="S60" s="12" t="inlineStr"/>
    </row>
    <row r="61">
      <c r="A61" s="13" t="inlineStr">
        <is>
          <t>Vn103-26</t>
        </is>
      </c>
      <c r="B61" s="13" t="inlineStr">
        <is>
          <t>Word — em aberto</t>
        </is>
      </c>
      <c r="C61" s="13" t="inlineStr">
        <is>
          <t>Vn103-26.docx</t>
        </is>
      </c>
      <c r="D61" s="12" t="inlineStr">
        <is>
          <t>02/07/2026</t>
        </is>
      </c>
      <c r="E61" s="12" t="inlineStr">
        <is>
          <t>Sofie RG62898</t>
        </is>
      </c>
      <c r="F61" s="12" t="inlineStr">
        <is>
          <t>canina</t>
        </is>
      </c>
      <c r="G61" s="12" t="inlineStr">
        <is>
          <t>SRD</t>
        </is>
      </c>
      <c r="H61" s="12" t="inlineStr">
        <is>
          <t>fêmea</t>
        </is>
      </c>
      <c r="I61" s="12" t="inlineStr">
        <is>
          <t>16 anos</t>
        </is>
      </c>
      <c r="J61" s="12" t="inlineStr">
        <is>
          <t>Carine Rampelotto</t>
        </is>
      </c>
      <c r="K61" s="12" t="inlineStr">
        <is>
          <t>Ana Paula da Silva CRMV 9515</t>
        </is>
      </c>
      <c r="L61" s="12" t="inlineStr">
        <is>
          <t>HVU UFSM</t>
        </is>
      </c>
      <c r="M61" s="12" t="inlineStr">
        <is>
          <t>HVU</t>
        </is>
      </c>
      <c r="N61" s="12" t="inlineStr"/>
      <c r="O61" s="12" t="inlineStr">
        <is>
          <t>em andamento</t>
        </is>
      </c>
      <c r="P61" s="12" t="inlineStr">
        <is>
          <t>segundo o remetente, “DRC/policística, mucocele/colelitíase, cálculos biliares intra-hepáticos, neoplasia subcutânea (lipoma?) em região inguinal esquerda, doença valvar degenerativa, , urolitíase vesical, saculite anal recidivante, síndrome lombossacra e síndrome da disfunção cognitiva canina.”</t>
        </is>
      </c>
      <c r="Q61" s="12" t="inlineStr">
        <is>
          <t>segundo o remetente, “ paciente em tratamento há mais de três anos para diversas patologias. Internou há dois dias em uremia. Apresentou piora do quadro clínico e exames laboratoriais após 48 horas de terapia. Tutora optou pela eutanásia.”</t>
        </is>
      </c>
      <c r="R61" s="12" t="inlineStr"/>
      <c r="S61" s="12" t="inlineStr"/>
    </row>
    <row r="62">
      <c r="A62" s="15" t="inlineStr">
        <is>
          <t>Vn105-26</t>
        </is>
      </c>
      <c r="B62" s="15" t="inlineStr">
        <is>
          <t>SEM ARQUIVO na pasta</t>
        </is>
      </c>
      <c r="C62" s="15" t="inlineStr"/>
      <c r="D62" s="12" t="inlineStr"/>
      <c r="E62" s="12" t="inlineStr"/>
      <c r="F62" s="12" t="inlineStr"/>
      <c r="G62" s="12" t="inlineStr"/>
      <c r="H62" s="12" t="inlineStr"/>
      <c r="I62" s="12" t="inlineStr"/>
      <c r="J62" s="12" t="inlineStr"/>
      <c r="K62" s="12" t="inlineStr"/>
      <c r="L62" s="12" t="inlineStr"/>
      <c r="M62" s="12" t="inlineStr"/>
      <c r="N62" s="12" t="inlineStr"/>
      <c r="O62" s="12" t="inlineStr"/>
      <c r="P62" s="12" t="inlineStr"/>
      <c r="Q62" s="12" t="inlineStr"/>
      <c r="R62" s="12" t="inlineStr"/>
      <c r="S62" s="14" t="inlineStr"/>
      <c r="T62" t="inlineStr">
        <is>
          <t>Não há PDF nem Word para este protocolo.</t>
        </is>
      </c>
    </row>
    <row r="63">
      <c r="A63" s="15" t="inlineStr">
        <is>
          <t>Vn106-26</t>
        </is>
      </c>
      <c r="B63" s="15" t="inlineStr">
        <is>
          <t>SEM ARQUIVO na pasta</t>
        </is>
      </c>
      <c r="C63" s="15" t="inlineStr"/>
      <c r="D63" s="12" t="inlineStr"/>
      <c r="E63" s="12" t="inlineStr"/>
      <c r="F63" s="12" t="inlineStr"/>
      <c r="G63" s="12" t="inlineStr"/>
      <c r="H63" s="12" t="inlineStr"/>
      <c r="I63" s="12" t="inlineStr"/>
      <c r="J63" s="12" t="inlineStr"/>
      <c r="K63" s="12" t="inlineStr"/>
      <c r="L63" s="12" t="inlineStr"/>
      <c r="M63" s="12" t="inlineStr"/>
      <c r="N63" s="12" t="inlineStr"/>
      <c r="O63" s="12" t="inlineStr"/>
      <c r="P63" s="12" t="inlineStr"/>
      <c r="Q63" s="12" t="inlineStr"/>
      <c r="R63" s="12" t="inlineStr"/>
      <c r="S63" s="14" t="inlineStr"/>
      <c r="T63" t="inlineStr">
        <is>
          <t>Não há PDF nem Word para este protocolo.</t>
        </is>
      </c>
    </row>
    <row r="64">
      <c r="A64" s="13" t="inlineStr">
        <is>
          <t>Vn107-26</t>
        </is>
      </c>
      <c r="B64" s="13" t="inlineStr">
        <is>
          <t>Word — em aberto</t>
        </is>
      </c>
      <c r="C64" s="13" t="inlineStr">
        <is>
          <t>Vn107-26.docx</t>
        </is>
      </c>
      <c r="D64" s="12" t="inlineStr">
        <is>
          <t>29/05/05/2026</t>
        </is>
      </c>
      <c r="E64" s="12" t="inlineStr">
        <is>
          <t>RG104780</t>
        </is>
      </c>
      <c r="F64" s="12" t="inlineStr"/>
      <c r="G64" s="12" t="inlineStr">
        <is>
          <t>Poodle</t>
        </is>
      </c>
      <c r="H64" s="12" t="inlineStr">
        <is>
          <t>fêmea</t>
        </is>
      </c>
      <c r="I64" s="12" t="inlineStr">
        <is>
          <t>17 anos</t>
        </is>
      </c>
      <c r="J64" s="12" t="inlineStr">
        <is>
          <t>Vera Lucia Pedroso</t>
        </is>
      </c>
      <c r="K64" s="12" t="inlineStr">
        <is>
          <t>Katielle Martins Marques</t>
        </is>
      </c>
      <c r="L64" s="12" t="inlineStr">
        <is>
          <t>HVU UFSM</t>
        </is>
      </c>
      <c r="M64" s="12" t="inlineStr">
        <is>
          <t>HVU</t>
        </is>
      </c>
      <c r="N64" s="12" t="inlineStr"/>
      <c r="O64" s="12" t="inlineStr">
        <is>
          <t>em andamento</t>
        </is>
      </c>
      <c r="P64" s="12" t="inlineStr">
        <is>
          <t>segundo o remetente, “DRC estágio avançado, edema pulmonar, neoplasia ou hérnia toracolombar, hepatopatia crônica, enterite, cistite bacteriana, pancreatite, insuficiência cardíaca de mitral de leve a moderada. *Ao longo da internação começou a apresentar sinais neurológicos.”</t>
        </is>
      </c>
      <c r="Q64" s="12" t="inlineStr">
        <is>
          <t>segundo o remetente, “Descrição do estado do paciente na admissão: Paciente ofegante/dispneica, em posição esternal com membros pélvicos estendidos, com perda de movimentos. Informações relevantes e histórico breve: Tutora relata que hoje pela manhã notou que estava sem conseguir andar e mais ofegante. Até ontem estava bem, se alimentando, normoúria,normoquezia. Relata tosse há uns meses, episódios diários. Na viajem vindo para o hospital ficou bem ofegante e salivando bastante. Quanto ao histórico apenas para castração e uma cistite há alguns anos, sem exames anteriores.”</t>
        </is>
      </c>
      <c r="R64" s="12" t="inlineStr"/>
      <c r="S64" s="14" t="inlineStr">
        <is>
          <t>Texto IDENTICO ao de Vn111-26 e Vn112-26 (mesmo animal, tutor e RG). Conferir qual e o protocolo correto. Data de recebimento com erro de digitacao: "29/05/05/2026". Campo "Especie" em branco (raca: Poodle).</t>
        </is>
      </c>
    </row>
    <row r="65">
      <c r="A65" s="13" t="inlineStr">
        <is>
          <t>Vn108-26</t>
        </is>
      </c>
      <c r="B65" s="13" t="inlineStr">
        <is>
          <t>Word — em aberto</t>
        </is>
      </c>
      <c r="C65" s="13" t="inlineStr">
        <is>
          <t>Vn108-26.docx</t>
        </is>
      </c>
      <c r="D65" s="12" t="inlineStr">
        <is>
          <t>14/07/2026</t>
        </is>
      </c>
      <c r="E65" s="12" t="inlineStr">
        <is>
          <t>Elza 1</t>
        </is>
      </c>
      <c r="F65" s="12" t="inlineStr">
        <is>
          <t>canina</t>
        </is>
      </c>
      <c r="G65" s="12" t="inlineStr">
        <is>
          <t>galgo italiano</t>
        </is>
      </c>
      <c r="H65" s="12" t="inlineStr">
        <is>
          <t>fêmea</t>
        </is>
      </c>
      <c r="I65" s="12" t="inlineStr">
        <is>
          <t>não informada</t>
        </is>
      </c>
      <c r="J65" s="12" t="inlineStr">
        <is>
          <t>Gabriela Rios da Fonseca</t>
        </is>
      </c>
      <c r="K65" s="12" t="inlineStr">
        <is>
          <t>Vinicius T. Thomasi CRMV RS 22256</t>
        </is>
      </c>
      <c r="L65" s="12" t="inlineStr">
        <is>
          <t>Ninho hospital veterinário</t>
        </is>
      </c>
      <c r="M65" s="12" t="inlineStr">
        <is>
          <t>Externo</t>
        </is>
      </c>
      <c r="N65" s="12" t="inlineStr"/>
      <c r="O65" s="12" t="inlineStr">
        <is>
          <t>em andamento</t>
        </is>
      </c>
      <c r="P65" s="12" t="inlineStr">
        <is>
          <t>parvovirose canina (principal suspeita, considerando a idade/origem e o quadro clínico). Coronavirose canina, enterites infecciosas bacterianas, parasitoses intestinais graves, outras causas de enterite hemorrágica aguda.</t>
        </is>
      </c>
      <c r="Q65" s="12" t="inlineStr">
        <is>
          <t>segundo remetente, paciente oriundo de canil, com histórico de diarreia sanguinolenta, sem episódios de vômitos. Recebeu atendimento clínico, tendo sido administrado soro hiperimune e iniciado protocolo de vacinação (Puppy). Evoluiu a óbito rm 13/07/2026.</t>
        </is>
      </c>
      <c r="R65" s="12" t="inlineStr"/>
      <c r="S65" s="12" t="inlineStr"/>
    </row>
    <row r="66">
      <c r="A66" s="13" t="inlineStr">
        <is>
          <t>Vn109-26</t>
        </is>
      </c>
      <c r="B66" s="13" t="inlineStr">
        <is>
          <t>Word — em aberto</t>
        </is>
      </c>
      <c r="C66" s="13" t="inlineStr">
        <is>
          <t>Vn109-26.docx</t>
        </is>
      </c>
      <c r="D66" s="12" t="inlineStr">
        <is>
          <t>16/07/2026</t>
        </is>
      </c>
      <c r="E66" s="12" t="inlineStr">
        <is>
          <t>“Goda” RG 95118</t>
        </is>
      </c>
      <c r="F66" s="12" t="inlineStr">
        <is>
          <t>canina</t>
        </is>
      </c>
      <c r="G66" s="12" t="inlineStr">
        <is>
          <t>SRD</t>
        </is>
      </c>
      <c r="H66" s="12" t="inlineStr">
        <is>
          <t>fêmea</t>
        </is>
      </c>
      <c r="I66" s="12" t="inlineStr">
        <is>
          <t>11 anos</t>
        </is>
      </c>
      <c r="J66" s="12" t="inlineStr">
        <is>
          <t>Marli Brum Varone</t>
        </is>
      </c>
      <c r="K66" s="12" t="inlineStr">
        <is>
          <t>Natália Cristina Schumacher CRMV-RS 23850</t>
        </is>
      </c>
      <c r="L66" s="12" t="inlineStr">
        <is>
          <t>HVU-UFSM</t>
        </is>
      </c>
      <c r="M66" s="12" t="inlineStr">
        <is>
          <t>HVU</t>
        </is>
      </c>
      <c r="N66" s="12" t="inlineStr"/>
      <c r="O66" s="12" t="inlineStr">
        <is>
          <t>em andamento</t>
        </is>
      </c>
      <c r="P66" s="12" t="inlineStr">
        <is>
          <t>cardiomiopatia dilatada.</t>
        </is>
      </c>
      <c r="Q66" s="12" t="inlineStr">
        <is>
          <t>segundo remetente, paciente chegou com taquipneia, midríase não responsiva a luz, e cianose de língua. Evolução de 1 semana a taquipneia. Instituída oxigenioterapia e butorfanol 0,25mg/kg IM. Apresentou PCR em poucos minutos após avaliação. Realizado 10 ciclos de reanimação não responsivo.</t>
        </is>
      </c>
      <c r="R66" s="12" t="inlineStr"/>
      <c r="S66" s="12" t="inlineStr"/>
    </row>
    <row r="67">
      <c r="A67" s="13" t="inlineStr">
        <is>
          <t>Vn110-26</t>
        </is>
      </c>
      <c r="B67" s="13" t="inlineStr">
        <is>
          <t>Word — em aberto</t>
        </is>
      </c>
      <c r="C67" s="13" t="inlineStr">
        <is>
          <t>Vn110-26.docx</t>
        </is>
      </c>
      <c r="D67" s="12" t="inlineStr">
        <is>
          <t>17/07/2026</t>
        </is>
      </c>
      <c r="E67" s="12" t="inlineStr">
        <is>
          <t>“Raia” 132382</t>
        </is>
      </c>
      <c r="F67" s="12" t="inlineStr">
        <is>
          <t>equina</t>
        </is>
      </c>
      <c r="G67" s="12" t="inlineStr">
        <is>
          <t>SRD</t>
        </is>
      </c>
      <c r="H67" s="12" t="inlineStr">
        <is>
          <t>fêmea</t>
        </is>
      </c>
      <c r="I67" s="12" t="inlineStr">
        <is>
          <t>20 anos</t>
        </is>
      </c>
      <c r="J67" s="12" t="inlineStr">
        <is>
          <t>Brigada Militar do Estado do Rio Grande do Sul</t>
        </is>
      </c>
      <c r="K67" s="12" t="inlineStr">
        <is>
          <t>Flávio Desessards De La Côrte</t>
        </is>
      </c>
      <c r="L67" s="12" t="inlineStr">
        <is>
          <t>Clínica médica de equinos-HVU UFSM</t>
        </is>
      </c>
      <c r="M67" s="12" t="inlineStr">
        <is>
          <t>HVU</t>
        </is>
      </c>
      <c r="N67" s="12" t="inlineStr"/>
      <c r="O67" s="12" t="inlineStr">
        <is>
          <t>em andamento</t>
        </is>
      </c>
      <c r="P67" s="12" t="inlineStr">
        <is>
          <t>não informado</t>
        </is>
      </c>
      <c r="Q67" s="12" t="inlineStr">
        <is>
          <t>segundo remetente, égua foi encaminhada ao Hospital Veterinário da Universidade Federal de Santa Maria (HVU – UFSM) devido a presença de múltiplas e as vezes extensas massas de aspecto tumoral, localizadas na virilha MPD (a maior, ulcerada, mais de 30 cm), virilha esquerda (não tinha aspecto ulcerado) e axila esquerda. Inicialmente, realizado curativos e preparação para remoção cirúrgica. Exames laboratoriais sem alterações, sendo encaminhada ao bloco cirúrgico, após transcorridos dois dias de internação. Após tricotomia e antissepsia, realizada retirada da maior massa, localizada na virilha direita. Devido a extensão da massa, adjacente e sobre vasos, a cirurgia foi cruenta. Vasos foram ligados e não foi possível aproximar os bordos da pele por toda extensão, apenas em uma parte. Posteriormente, retirada também a massa localizada na axila esquerda, sendo que essa, com alguma dificuldade foi possível aproximar as bordas. Foi realizada analgesia trans e pós-operatória, com flunexin meglumini e epidural analgésica de morfina. Durante a recuperação anestésica, égua não conseguia ficar em estação, e nas primeiras tentativas, rompeu os pontos que haviam sido colocados nas incisões. Seguia apresentando dor, sendo utilizada várias formas de analgesia (butorfanol, cetamina, morfina, sedativos). Égua seguia sem conseguir se levantar, sem conseguir firmar os posteriores. Após 4 horas de recuperação anestésica, apresentou enfisema subcutâneo e cessou as tentativas de se colocar em estação. Exames laboratoriais demonstraram alterações de CK (26.637). Indução anestésica foi acolchoada com feno e foi seguida com fluidoterapia e terapia suporte para a égua, com mudança de decúbito e monitoração constante. Foram realizadas tentativas de levantar a égua com uso de talha, sem sucesso. Após transcorridas 26 horas de decúbito, devido a falta de progressão do quadro, agravamento das feridas, falta de resposta, em conjunto com o proprietário, foi optado pela autanásea da égua por motivos humanitários.</t>
        </is>
      </c>
      <c r="R67" s="12" t="inlineStr"/>
      <c r="S67" s="12" t="inlineStr"/>
    </row>
    <row r="68">
      <c r="A68" s="13" t="inlineStr">
        <is>
          <t>Vn111-26</t>
        </is>
      </c>
      <c r="B68" s="13" t="inlineStr">
        <is>
          <t>Word — em aberto</t>
        </is>
      </c>
      <c r="C68" s="13" t="inlineStr">
        <is>
          <t>Vn111-26.docx</t>
        </is>
      </c>
      <c r="D68" s="12" t="inlineStr">
        <is>
          <t>29/05/05/2026</t>
        </is>
      </c>
      <c r="E68" s="12" t="inlineStr">
        <is>
          <t>RG104780</t>
        </is>
      </c>
      <c r="F68" s="12" t="inlineStr"/>
      <c r="G68" s="12" t="inlineStr">
        <is>
          <t>Poodle</t>
        </is>
      </c>
      <c r="H68" s="12" t="inlineStr">
        <is>
          <t>fêmea</t>
        </is>
      </c>
      <c r="I68" s="12" t="inlineStr">
        <is>
          <t>17 anos</t>
        </is>
      </c>
      <c r="J68" s="12" t="inlineStr">
        <is>
          <t>Vera Lucia Pedroso</t>
        </is>
      </c>
      <c r="K68" s="12" t="inlineStr">
        <is>
          <t>Katielle Martins Marques</t>
        </is>
      </c>
      <c r="L68" s="12" t="inlineStr">
        <is>
          <t>HVU UFSM</t>
        </is>
      </c>
      <c r="M68" s="12" t="inlineStr">
        <is>
          <t>HVU</t>
        </is>
      </c>
      <c r="N68" s="12" t="inlineStr"/>
      <c r="O68" s="12" t="inlineStr">
        <is>
          <t>em andamento</t>
        </is>
      </c>
      <c r="P68" s="12" t="inlineStr">
        <is>
          <t>segundo o remetente, “DRC estágio avançado, edema pulmonar, neoplasia ou hérnia toracolombar, hepatopatia crônica, enterite, cistite bacteriana, pancreatite, insuficiência cardíaca de mitral de leve a moderada. *Ao longo da internação começou a apresentar sinais neurológicos.”</t>
        </is>
      </c>
      <c r="Q68" s="12" t="inlineStr">
        <is>
          <t>segundo o remetente, “Descrição do estado do paciente na admissão: Paciente ofegante/dispneica, em posição esternal com membros pélvicos estendidos, com perda de movimentos. Informações relevantes e histórico breve: Tutora relata que hoje pela manhã notou que estava sem conseguir andar e mais ofegante. Até ontem estava bem, se alimentando, normoúria,normoquezia. Relata tosse há uns meses, episódios diários. Na viajem vindo para o hospital ficou bem ofegante e salivando bastante. Quanto ao histórico apenas para castração e uma cistite há alguns anos, sem exames anteriores.”</t>
        </is>
      </c>
      <c r="R68" s="12" t="inlineStr"/>
      <c r="S68" s="14" t="inlineStr">
        <is>
          <t>Texto IDENTICO ao de Vn107-26 e Vn112-26 (mesmo animal, tutor e RG). Conferir qual e o protocolo correto. Data de recebimento com erro de digitacao: "29/05/05/2026". Campo "Especie" em branco (raca: Poodle).</t>
        </is>
      </c>
    </row>
    <row r="69">
      <c r="A69" s="13" t="inlineStr">
        <is>
          <t>Vn112-26</t>
        </is>
      </c>
      <c r="B69" s="13" t="inlineStr">
        <is>
          <t>Word — em aberto</t>
        </is>
      </c>
      <c r="C69" s="13" t="inlineStr">
        <is>
          <t>Vn112-26.docx</t>
        </is>
      </c>
      <c r="D69" s="12" t="inlineStr">
        <is>
          <t>29/05/05/2026</t>
        </is>
      </c>
      <c r="E69" s="12" t="inlineStr">
        <is>
          <t>RG104780</t>
        </is>
      </c>
      <c r="F69" s="12" t="inlineStr"/>
      <c r="G69" s="12" t="inlineStr">
        <is>
          <t>Poodle</t>
        </is>
      </c>
      <c r="H69" s="12" t="inlineStr">
        <is>
          <t>fêmea</t>
        </is>
      </c>
      <c r="I69" s="12" t="inlineStr">
        <is>
          <t>17 anos</t>
        </is>
      </c>
      <c r="J69" s="12" t="inlineStr">
        <is>
          <t>Vera Lucia Pedroso</t>
        </is>
      </c>
      <c r="K69" s="12" t="inlineStr">
        <is>
          <t>Katielle Martins Marques</t>
        </is>
      </c>
      <c r="L69" s="12" t="inlineStr">
        <is>
          <t>HVU UFSM</t>
        </is>
      </c>
      <c r="M69" s="12" t="inlineStr">
        <is>
          <t>HVU</t>
        </is>
      </c>
      <c r="N69" s="12" t="inlineStr"/>
      <c r="O69" s="12" t="inlineStr">
        <is>
          <t>em andamento</t>
        </is>
      </c>
      <c r="P69" s="12" t="inlineStr">
        <is>
          <t>segundo o remetente, “DRC estágio avançado, edema pulmonar, neoplasia ou hérnia toracolombar, hepatopatia crônica, enterite, cistite bacteriana, pancreatite, insuficiência cardíaca de mitral de leve a moderada. *Ao longo da internação começou a apresentar sinais neurológicos.”</t>
        </is>
      </c>
      <c r="Q69" s="12" t="inlineStr">
        <is>
          <t>segundo o remetente, “Descrição do estado do paciente na admissão: Paciente ofegante/dispneica, em posição esternal com membros pélvicos estendidos, com perda de movimentos. Informações relevantes e histórico breve: Tutora relata que hoje pela manhã notou que estava sem conseguir andar e mais ofegante. Até ontem estava bem, se alimentando, normoúria,normoquezia. Relata tosse há uns meses, episódios diários. Na viajem vindo para o hospital ficou bem ofegante e salivando bastante. Quanto ao histórico apenas para castração e uma cistite há alguns anos, sem exames anteriores.”</t>
        </is>
      </c>
      <c r="R69" s="12" t="inlineStr"/>
      <c r="S69" s="14" t="inlineStr">
        <is>
          <t>Texto IDENTICO ao de Vn107-26 e Vn111-26 (mesmo animal, tutor e RG). Conferir qual e o protocolo correto. Data de recebimento com erro de digitacao: "29/05/05/2026". Campo "Especie" em branco (raca: Poodle).</t>
        </is>
      </c>
    </row>
    <row r="70">
      <c r="A70" s="13" t="inlineStr">
        <is>
          <t>Vn114-26</t>
        </is>
      </c>
      <c r="B70" s="13" t="inlineStr">
        <is>
          <t>Word — em aberto</t>
        </is>
      </c>
      <c r="C70" s="13" t="inlineStr">
        <is>
          <t>Vn114-26.docx</t>
        </is>
      </c>
      <c r="D70" s="12" t="inlineStr">
        <is>
          <t>30/07/26</t>
        </is>
      </c>
      <c r="E70" s="12" t="inlineStr">
        <is>
          <t>Minie/Rg112616</t>
        </is>
      </c>
      <c r="F70" s="12" t="inlineStr">
        <is>
          <t>canino</t>
        </is>
      </c>
      <c r="G70" s="12" t="inlineStr">
        <is>
          <t>SRD</t>
        </is>
      </c>
      <c r="H70" s="12" t="inlineStr">
        <is>
          <t>fêmea</t>
        </is>
      </c>
      <c r="I70" s="12" t="inlineStr">
        <is>
          <t>8 anos</t>
        </is>
      </c>
      <c r="J70" s="12" t="inlineStr">
        <is>
          <t>Graziela de Souza</t>
        </is>
      </c>
      <c r="K70" s="12" t="inlineStr">
        <is>
          <t>Julya Chaves/A. Mazzanti/ CRMV-RS 20514</t>
        </is>
      </c>
      <c r="L70" s="12" t="inlineStr">
        <is>
          <t>HVU-UFSM</t>
        </is>
      </c>
      <c r="M70" s="12" t="inlineStr">
        <is>
          <t>HVU</t>
        </is>
      </c>
      <c r="N70" s="12" t="inlineStr"/>
      <c r="O70" s="12" t="inlineStr">
        <is>
          <t>em andamento</t>
        </is>
      </c>
      <c r="P70" s="12" t="inlineStr">
        <is>
          <t>não informado</t>
        </is>
      </c>
      <c r="Q70" s="12" t="inlineStr">
        <is>
          <t>em fev/26 parou de caminhar c/ MPs, antes já havia apresentado dor cervical. Apresentava paraparesia n ambulatória (GIII), realizada TC que não evidenciou alteração, por isso foi realizada mielografia e LCE. Na mielografia também não identificou compressão e o LCE apresentou pleocitose linfocítica (sugestivo de meningomielite). Após exames paciente apresentou piora perdendo totalmente movimentação de MPs e dor profunda (GV). Iniciada imunossupressão paciente recuperou dor profunda (GIV) mas nunca voltou a movimentar membros mesmo com alterações no protocolo imunossupressivo. Há 3 dias quadro piorou, parando também MTs e apresentando dor. Tutora optou por eutanásia.</t>
        </is>
      </c>
      <c r="R70" s="12" t="inlineStr"/>
      <c r="S70" s="12" t="inlineStr"/>
    </row>
    <row r="71">
      <c r="A71" s="13" t="inlineStr">
        <is>
          <t>Vn115-26</t>
        </is>
      </c>
      <c r="B71" s="13" t="inlineStr">
        <is>
          <t>Word — em aberto</t>
        </is>
      </c>
      <c r="C71" s="13" t="inlineStr">
        <is>
          <t>Vn-115-26.docx</t>
        </is>
      </c>
      <c r="D71" s="12" t="inlineStr">
        <is>
          <t>02/08/26</t>
        </is>
      </c>
      <c r="E71" s="12" t="inlineStr">
        <is>
          <t>Toscana da Serra/Rg132542</t>
        </is>
      </c>
      <c r="F71" s="12" t="inlineStr">
        <is>
          <t>equina</t>
        </is>
      </c>
      <c r="G71" s="12" t="inlineStr">
        <is>
          <t>BH</t>
        </is>
      </c>
      <c r="H71" s="12" t="inlineStr">
        <is>
          <t>fêmea</t>
        </is>
      </c>
      <c r="I71" s="12" t="inlineStr">
        <is>
          <t>14 anos</t>
        </is>
      </c>
      <c r="J71" s="12" t="inlineStr">
        <is>
          <t>Brigada Militar do Rio Grande do Sul</t>
        </is>
      </c>
      <c r="K71" s="12" t="inlineStr">
        <is>
          <t>Prof. Flávio Desessards De La Côrte</t>
        </is>
      </c>
      <c r="L71" s="12" t="inlineStr">
        <is>
          <t>HVU-UFSM</t>
        </is>
      </c>
      <c r="M71" s="12" t="inlineStr">
        <is>
          <t>HVU</t>
        </is>
      </c>
      <c r="N71" s="12" t="inlineStr"/>
      <c r="O71" s="12" t="inlineStr">
        <is>
          <t>em andamento</t>
        </is>
      </c>
      <c r="P71" s="12" t="inlineStr"/>
      <c r="Q71" s="12" t="inlineStr">
        <is>
          <t>Equino foi encaminhado ao Hospital Veterinário da Universidade Federal de Santa Maria (HVU – UFSM), com quadro de abdômen agudo não responsivo a analgesia. Após desconforto na propriedade da origem com evolução de horas, realizado atendimento clínico. Égua com elevado grau de desconforto abdominal, alteração de parâmetros clínicos, acentuada distensão abdominal e hipomotilidade. Em sondagem nasogástrica, presenca de conteúdo fermentado no estômago, que ao ser retirado, levou a uma diminuição de desconforto e distensão. Palpação transrwtal revelou presença de alcas de intestino delgado com grande distensão. Realizada hidratação, analgesia com AINE, uso de procinéticos e sedacol. Após algumas horas, retorno do desconforto, sondagem nasogastrica com presença de gas e refluxo de cor avermelhada, sendo então contatada equipe do HVU para encaminhamento. Na chegada ao hospital, presença de acentuada distensão abdominal, alteração de parâmetros clínicos (FC 60 bpm, FR 32 mrpm, TPC 3, mucosa cianótica, HT 60 PPT 7,5). Realizada sondagem nasogástrica, com presença de 8 litros de refluxo expontâneo de coloração avermelhada escura, com odor fétido. Animal foi imadiatamente encaminhado ao bloco cirúrgico. Após tricotomia e antissepsia abdominal, a cavidade foi acessada como de rotina. Após incisão do peritônio, começou a refluir líquido de coloração avermelhada e foi possivel a retirada de alças de intestino delgado distendidas e não viáveis. Exploração abdominal revelou presença de torção de raiz mesentérica com comprometimento de quase toda extensão do Intestino Delgado. Realizada drenagem de gás com uso de agulhas e do líquido presente dentro das alças de intestino delgado - de coloracao sangue vivo - através de enterotomia no jejuno, para melhor visualização da extensão da lesão. Devido a incapacidade de realização de ressecção e anastomose, pela extensa lesão de parte significativa de intestino, em conjunto com o proprietário, optou-se pela eutanásea do animal, por motivos humanitários.</t>
        </is>
      </c>
      <c r="R71" s="12" t="inlineStr"/>
      <c r="S71" s="12" t="inlineStr"/>
    </row>
    <row r="72">
      <c r="A72" s="15" t="inlineStr">
        <is>
          <t>Vn116-26</t>
        </is>
      </c>
      <c r="B72" s="15" t="inlineStr">
        <is>
          <t>SEM ARQUIVO na pasta</t>
        </is>
      </c>
      <c r="C72" s="15" t="inlineStr"/>
      <c r="D72" s="12" t="inlineStr"/>
      <c r="E72" s="12" t="inlineStr"/>
      <c r="F72" s="12" t="inlineStr"/>
      <c r="G72" s="12" t="inlineStr"/>
      <c r="H72" s="12" t="inlineStr"/>
      <c r="I72" s="12" t="inlineStr"/>
      <c r="J72" s="12" t="inlineStr"/>
      <c r="K72" s="12" t="inlineStr"/>
      <c r="L72" s="12" t="inlineStr"/>
      <c r="M72" s="12" t="inlineStr"/>
      <c r="N72" s="12" t="inlineStr"/>
      <c r="O72" s="12" t="inlineStr"/>
      <c r="P72" s="12" t="inlineStr"/>
      <c r="Q72" s="12" t="inlineStr"/>
      <c r="R72" s="12" t="inlineStr"/>
      <c r="S72" s="14" t="inlineStr"/>
      <c r="T72" t="inlineStr">
        <is>
          <t>Não há PDF nem Word para este protocolo.</t>
        </is>
      </c>
    </row>
    <row r="73">
      <c r="A73" s="13" t="inlineStr">
        <is>
          <t>Vn117-26</t>
        </is>
      </c>
      <c r="B73" s="13" t="inlineStr">
        <is>
          <t>Word — em aberto</t>
        </is>
      </c>
      <c r="C73" s="13" t="inlineStr">
        <is>
          <t>Vn117-26.docx</t>
        </is>
      </c>
      <c r="D73" s="12" t="inlineStr"/>
      <c r="E73" s="12" t="inlineStr"/>
      <c r="F73" s="12" t="inlineStr"/>
      <c r="G73" s="12" t="inlineStr"/>
      <c r="H73" s="12" t="inlineStr"/>
      <c r="I73" s="12" t="inlineStr"/>
      <c r="J73" s="12" t="inlineStr"/>
      <c r="K73" s="12" t="inlineStr"/>
      <c r="L73" s="12" t="inlineStr">
        <is>
          <t>Hospital Veterinário Universitário (HVU), Universidade Federal de Santa Maria</t>
        </is>
      </c>
      <c r="M73" s="12" t="inlineStr">
        <is>
          <t>HVU</t>
        </is>
      </c>
      <c r="N73" s="12" t="inlineStr"/>
      <c r="O73" s="12" t="inlineStr">
        <is>
          <t>em andamento</t>
        </is>
      </c>
      <c r="P73" s="12" t="inlineStr"/>
      <c r="Q73" s="12" t="inlineStr"/>
      <c r="R73" s="12" t="inlineStr"/>
      <c r="S73" s="14" t="inlineStr">
        <is>
          <t>O arquivo e o MODELO EM BRANCO: protocolo aparece como "(Vn-)" e nenhum campo esta preenchido.</t>
        </is>
      </c>
    </row>
    <row r="74">
      <c r="A74" s="13" t="inlineStr">
        <is>
          <t>Vn118-26</t>
        </is>
      </c>
      <c r="B74" s="13" t="inlineStr">
        <is>
          <t>Word — em aberto</t>
        </is>
      </c>
      <c r="C74" s="13" t="inlineStr">
        <is>
          <t>Vn118-26.docx</t>
        </is>
      </c>
      <c r="D74" s="12" t="inlineStr"/>
      <c r="E74" s="12" t="inlineStr"/>
      <c r="F74" s="12" t="inlineStr"/>
      <c r="G74" s="12" t="inlineStr"/>
      <c r="H74" s="12" t="inlineStr"/>
      <c r="I74" s="12" t="inlineStr"/>
      <c r="J74" s="12" t="inlineStr"/>
      <c r="K74" s="12" t="inlineStr"/>
      <c r="L74" s="12" t="inlineStr">
        <is>
          <t>Hospital Veterinário Universitário (HVU), Universidade Federal de Santa Maria</t>
        </is>
      </c>
      <c r="M74" s="12" t="inlineStr">
        <is>
          <t>HVU</t>
        </is>
      </c>
      <c r="N74" s="12" t="inlineStr"/>
      <c r="O74" s="12" t="inlineStr">
        <is>
          <t>em andamento</t>
        </is>
      </c>
      <c r="P74" s="12" t="inlineStr"/>
      <c r="Q74" s="12" t="inlineStr"/>
      <c r="R74" s="12" t="inlineStr"/>
      <c r="S74" s="14" t="inlineStr">
        <is>
          <t>O arquivo e o MODELO EM BRANCO: protocolo aparece como "(Vn-)" e nenhum campo esta preenchido.</t>
        </is>
      </c>
    </row>
    <row r="75">
      <c r="A75" s="15" t="inlineStr">
        <is>
          <t>Vn119-26</t>
        </is>
      </c>
      <c r="B75" s="15" t="inlineStr">
        <is>
          <t>SEM ARQUIVO na pasta</t>
        </is>
      </c>
      <c r="C75" s="15" t="inlineStr"/>
      <c r="D75" s="12" t="inlineStr"/>
      <c r="E75" s="12" t="inlineStr"/>
      <c r="F75" s="12" t="inlineStr"/>
      <c r="G75" s="12" t="inlineStr"/>
      <c r="H75" s="12" t="inlineStr"/>
      <c r="I75" s="12" t="inlineStr"/>
      <c r="J75" s="12" t="inlineStr"/>
      <c r="K75" s="12" t="inlineStr"/>
      <c r="L75" s="12" t="inlineStr"/>
      <c r="M75" s="12" t="inlineStr"/>
      <c r="N75" s="12" t="inlineStr"/>
      <c r="O75" s="12" t="inlineStr"/>
      <c r="P75" s="12" t="inlineStr"/>
      <c r="Q75" s="12" t="inlineStr"/>
      <c r="R75" s="12" t="inlineStr"/>
      <c r="S75" s="14" t="inlineStr"/>
      <c r="T75" t="inlineStr">
        <is>
          <t>Não há PDF nem Word para este protocolo.</t>
        </is>
      </c>
    </row>
    <row r="76">
      <c r="A76" s="15" t="inlineStr">
        <is>
          <t>Vn120-26</t>
        </is>
      </c>
      <c r="B76" s="15" t="inlineStr">
        <is>
          <t>SEM ARQUIVO na pasta</t>
        </is>
      </c>
      <c r="C76" s="15" t="inlineStr"/>
      <c r="D76" s="12" t="inlineStr"/>
      <c r="E76" s="12" t="inlineStr"/>
      <c r="F76" s="12" t="inlineStr"/>
      <c r="G76" s="12" t="inlineStr"/>
      <c r="H76" s="12" t="inlineStr"/>
      <c r="I76" s="12" t="inlineStr"/>
      <c r="J76" s="12" t="inlineStr"/>
      <c r="K76" s="12" t="inlineStr"/>
      <c r="L76" s="12" t="inlineStr"/>
      <c r="M76" s="12" t="inlineStr"/>
      <c r="N76" s="12" t="inlineStr"/>
      <c r="O76" s="12" t="inlineStr"/>
      <c r="P76" s="12" t="inlineStr"/>
      <c r="Q76" s="12" t="inlineStr"/>
      <c r="R76" s="12" t="inlineStr"/>
      <c r="S76" s="14" t="inlineStr"/>
      <c r="T76" t="inlineStr">
        <is>
          <t>Não há PDF nem Word para este protocolo.</t>
        </is>
      </c>
    </row>
  </sheetData>
  <autoFilter ref="A4:S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7" customWidth="1" min="3" max="3"/>
    <col width="15" customWidth="1" min="4" max="4"/>
    <col width="17" customWidth="1" min="5" max="5"/>
    <col width="15" customWidth="1" min="6" max="6"/>
    <col width="26" customWidth="1" min="7" max="7"/>
  </cols>
  <sheetData>
    <row r="1">
      <c r="A1" s="1" t="inlineStr">
        <is>
          <t>Protocolos não verdes sem PDF nem Word na pasta</t>
        </is>
      </c>
    </row>
    <row r="2">
      <c r="A2" s="2" t="inlineStr">
        <is>
          <t>Nada foi encontrado em D:\Laudos 2025 para estes números. O período provável vem da própria planilha.</t>
        </is>
      </c>
    </row>
    <row r="4" ht="30" customHeight="1">
      <c r="A4" s="10" t="inlineStr">
        <is>
          <t>Protocolo</t>
        </is>
      </c>
      <c r="B4" s="10" t="inlineStr">
        <is>
          <t>Ano</t>
        </is>
      </c>
      <c r="C4" s="10" t="inlineStr">
        <is>
          <t>Registrado antes</t>
        </is>
      </c>
      <c r="D4" s="10" t="inlineStr">
        <is>
          <t>Data do anterior</t>
        </is>
      </c>
      <c r="E4" s="10" t="inlineStr">
        <is>
          <t>Registrado depois</t>
        </is>
      </c>
      <c r="F4" s="10" t="inlineStr">
        <is>
          <t>Data do próximo</t>
        </is>
      </c>
      <c r="G4" s="10" t="inlineStr">
        <is>
          <t>Período provável</t>
        </is>
      </c>
    </row>
    <row r="5">
      <c r="A5" s="12" t="inlineStr">
        <is>
          <t>Vn064-26</t>
        </is>
      </c>
      <c r="B5" s="12" t="inlineStr">
        <is>
          <t>2026.0</t>
        </is>
      </c>
      <c r="C5" s="12" t="inlineStr"/>
      <c r="D5" s="12" t="inlineStr"/>
      <c r="E5" s="12" t="inlineStr"/>
      <c r="F5" s="12" t="inlineStr"/>
      <c r="G5" s="12" t="inlineStr"/>
    </row>
    <row r="6">
      <c r="A6" s="12" t="inlineStr">
        <is>
          <t>Vn073-26</t>
        </is>
      </c>
      <c r="B6" s="12" t="inlineStr">
        <is>
          <t>2026.0</t>
        </is>
      </c>
      <c r="C6" s="12" t="inlineStr"/>
      <c r="D6" s="12" t="inlineStr"/>
      <c r="E6" s="12" t="inlineStr"/>
      <c r="F6" s="12" t="inlineStr"/>
      <c r="G6" s="12" t="inlineStr"/>
    </row>
    <row r="7">
      <c r="A7" s="12" t="inlineStr">
        <is>
          <t>Vn074-26</t>
        </is>
      </c>
      <c r="B7" s="12" t="inlineStr">
        <is>
          <t>2026.0</t>
        </is>
      </c>
      <c r="C7" s="12" t="inlineStr"/>
      <c r="D7" s="12" t="inlineStr"/>
      <c r="E7" s="12" t="inlineStr"/>
      <c r="F7" s="12" t="inlineStr"/>
      <c r="G7" s="12" t="inlineStr"/>
    </row>
    <row r="8">
      <c r="A8" s="12" t="inlineStr">
        <is>
          <t>Vn085-26</t>
        </is>
      </c>
      <c r="B8" s="12" t="inlineStr">
        <is>
          <t>2026.0</t>
        </is>
      </c>
      <c r="C8" s="12" t="inlineStr"/>
      <c r="D8" s="12" t="inlineStr"/>
      <c r="E8" s="12" t="inlineStr"/>
      <c r="F8" s="12" t="inlineStr"/>
      <c r="G8" s="12" t="inlineStr"/>
    </row>
    <row r="9">
      <c r="A9" s="12" t="inlineStr">
        <is>
          <t>Vn086-26</t>
        </is>
      </c>
      <c r="B9" s="12" t="inlineStr">
        <is>
          <t>2026.0</t>
        </is>
      </c>
      <c r="C9" s="12" t="inlineStr"/>
      <c r="D9" s="12" t="inlineStr"/>
      <c r="E9" s="12" t="inlineStr"/>
      <c r="F9" s="12" t="inlineStr"/>
      <c r="G9" s="12" t="inlineStr"/>
    </row>
    <row r="10">
      <c r="A10" s="12" t="inlineStr">
        <is>
          <t>Vn087-26</t>
        </is>
      </c>
      <c r="B10" s="12" t="inlineStr">
        <is>
          <t>2026.0</t>
        </is>
      </c>
      <c r="C10" s="12" t="inlineStr"/>
      <c r="D10" s="12" t="inlineStr"/>
      <c r="E10" s="12" t="inlineStr"/>
      <c r="F10" s="12" t="inlineStr"/>
      <c r="G10" s="12" t="inlineStr"/>
    </row>
    <row r="11">
      <c r="A11" s="12" t="inlineStr">
        <is>
          <t>Vn088-26</t>
        </is>
      </c>
      <c r="B11" s="12" t="inlineStr">
        <is>
          <t>2026.0</t>
        </is>
      </c>
      <c r="C11" s="12" t="inlineStr"/>
      <c r="D11" s="12" t="inlineStr"/>
      <c r="E11" s="12" t="inlineStr"/>
      <c r="F11" s="12" t="inlineStr"/>
      <c r="G11" s="12" t="inlineStr"/>
    </row>
    <row r="12">
      <c r="A12" s="12" t="inlineStr">
        <is>
          <t>Vn089-26</t>
        </is>
      </c>
      <c r="B12" s="12" t="inlineStr">
        <is>
          <t>2026.0</t>
        </is>
      </c>
      <c r="C12" s="12" t="inlineStr"/>
      <c r="D12" s="12" t="inlineStr"/>
      <c r="E12" s="12" t="inlineStr"/>
      <c r="F12" s="12" t="inlineStr"/>
      <c r="G12" s="12" t="inlineStr"/>
    </row>
    <row r="13">
      <c r="A13" s="12" t="inlineStr">
        <is>
          <t>Vn090-26</t>
        </is>
      </c>
      <c r="B13" s="12" t="inlineStr">
        <is>
          <t>2026.0</t>
        </is>
      </c>
      <c r="C13" s="12" t="inlineStr"/>
      <c r="D13" s="12" t="inlineStr"/>
      <c r="E13" s="12" t="inlineStr"/>
      <c r="F13" s="12" t="inlineStr"/>
      <c r="G13" s="12" t="inlineStr"/>
    </row>
    <row r="14">
      <c r="A14" s="12" t="inlineStr">
        <is>
          <t>Vn091-26</t>
        </is>
      </c>
      <c r="B14" s="12" t="inlineStr">
        <is>
          <t>2026.0</t>
        </is>
      </c>
      <c r="C14" s="12" t="inlineStr"/>
      <c r="D14" s="12" t="inlineStr"/>
      <c r="E14" s="12" t="inlineStr"/>
      <c r="F14" s="12" t="inlineStr"/>
      <c r="G14" s="12" t="inlineStr"/>
    </row>
    <row r="15">
      <c r="A15" s="12" t="inlineStr">
        <is>
          <t>Vn105-26</t>
        </is>
      </c>
      <c r="B15" s="12" t="inlineStr">
        <is>
          <t>2026.0</t>
        </is>
      </c>
      <c r="C15" s="12" t="inlineStr"/>
      <c r="D15" s="12" t="inlineStr"/>
      <c r="E15" s="12" t="inlineStr"/>
      <c r="F15" s="12" t="inlineStr"/>
      <c r="G15" s="12" t="inlineStr"/>
    </row>
    <row r="16">
      <c r="A16" s="12" t="inlineStr">
        <is>
          <t>Vn106-26</t>
        </is>
      </c>
      <c r="B16" s="12" t="inlineStr">
        <is>
          <t>2026.0</t>
        </is>
      </c>
      <c r="C16" s="12" t="inlineStr"/>
      <c r="D16" s="12" t="inlineStr"/>
      <c r="E16" s="12" t="inlineStr"/>
      <c r="F16" s="12" t="inlineStr"/>
      <c r="G16" s="12" t="inlineStr"/>
    </row>
    <row r="17">
      <c r="A17" s="12" t="inlineStr">
        <is>
          <t>Vn116-26</t>
        </is>
      </c>
      <c r="B17" s="12" t="inlineStr">
        <is>
          <t>2026.0</t>
        </is>
      </c>
      <c r="C17" s="12" t="inlineStr"/>
      <c r="D17" s="12" t="inlineStr"/>
      <c r="E17" s="12" t="inlineStr"/>
      <c r="F17" s="12" t="inlineStr"/>
      <c r="G17" s="12" t="inlineStr"/>
    </row>
    <row r="18">
      <c r="A18" s="12" t="inlineStr">
        <is>
          <t>Vn119-26</t>
        </is>
      </c>
      <c r="B18" s="12" t="inlineStr">
        <is>
          <t>2026.0</t>
        </is>
      </c>
      <c r="C18" s="12" t="inlineStr"/>
      <c r="D18" s="12" t="inlineStr"/>
      <c r="E18" s="12" t="inlineStr"/>
      <c r="F18" s="12" t="inlineStr"/>
      <c r="G18" s="12" t="inlineStr"/>
    </row>
    <row r="19">
      <c r="A19" s="12" t="inlineStr">
        <is>
          <t>Vn120-26</t>
        </is>
      </c>
      <c r="B19" s="12" t="inlineStr">
        <is>
          <t>2026.0</t>
        </is>
      </c>
      <c r="C19" s="12" t="inlineStr"/>
      <c r="D19" s="12" t="inlineStr"/>
      <c r="E19" s="12" t="inlineStr"/>
      <c r="F19" s="12" t="inlineStr"/>
      <c r="G19" s="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95" customWidth="1" min="3" max="3"/>
  </cols>
  <sheetData>
    <row r="1">
      <c r="A1" s="1" t="inlineStr">
        <is>
          <t>Pontos que exigem conferência humana</t>
        </is>
      </c>
    </row>
    <row r="2">
      <c r="A2" s="2" t="inlineStr">
        <is>
          <t>Problemas que estão dentro dos próprios arquivos — não dá para resolver automaticamente.</t>
        </is>
      </c>
    </row>
    <row r="4" ht="30" customHeight="1">
      <c r="A4" s="10" t="inlineStr">
        <is>
          <t>Protocolo</t>
        </is>
      </c>
      <c r="B4" s="10" t="inlineStr">
        <is>
          <t>Arquivo</t>
        </is>
      </c>
      <c r="C4" s="10" t="inlineStr">
        <is>
          <t>O que precisa ser conferido</t>
        </is>
      </c>
    </row>
    <row r="5">
      <c r="A5" s="12" t="inlineStr">
        <is>
          <t>Vn016-25</t>
        </is>
      </c>
      <c r="B5" s="12" t="inlineStr">
        <is>
          <t>Vn016-25.pdf</t>
        </is>
      </c>
      <c r="C5" s="12" t="inlineStr">
        <is>
          <t>Campo "Especie" em branco no proprio laudo.</t>
        </is>
      </c>
    </row>
    <row r="6">
      <c r="A6" s="12" t="inlineStr">
        <is>
          <t>Vn028-25</t>
        </is>
      </c>
      <c r="B6" s="12" t="inlineStr">
        <is>
          <t>Vn028-25.pdf</t>
        </is>
      </c>
      <c r="C6" s="12" t="inlineStr">
        <is>
          <t>Campo "Data de recebimento" em branco no proprio laudo.</t>
        </is>
      </c>
    </row>
    <row r="7">
      <c r="A7" s="12" t="inlineStr">
        <is>
          <t>Vn032-25</t>
        </is>
      </c>
      <c r="B7" s="12" t="inlineStr">
        <is>
          <t>Vn032-25.docx</t>
        </is>
      </c>
      <c r="C7" s="12" t="inlineStr">
        <is>
          <t>Word (em aberto), mas JA TEM diagnostico preenchido. Falta so emitir/fechar o laudo.</t>
        </is>
      </c>
    </row>
    <row r="8">
      <c r="A8" s="12" t="inlineStr">
        <is>
          <t>Vn033-25</t>
        </is>
      </c>
      <c r="B8" s="12" t="inlineStr">
        <is>
          <t>Vn033-25.docx</t>
        </is>
      </c>
      <c r="C8" s="12" t="inlineStr">
        <is>
          <t>Word (em aberto), mas JA TEM diagnostico preenchido. Falta so emitir/fechar o laudo.</t>
        </is>
      </c>
    </row>
    <row r="9">
      <c r="A9" s="12" t="inlineStr">
        <is>
          <t>Vn038-25</t>
        </is>
      </c>
      <c r="B9" s="12" t="inlineStr">
        <is>
          <t>Vn038-25.pdf</t>
        </is>
      </c>
      <c r="C9" s="12" t="inlineStr">
        <is>
          <t>Data de recebimento com erro de digitacao no laudo: "0705/2025".</t>
        </is>
      </c>
    </row>
    <row r="10">
      <c r="A10" s="12" t="inlineStr">
        <is>
          <t>Vn044-25</t>
        </is>
      </c>
      <c r="B10" s="12" t="inlineStr">
        <is>
          <t>Vn044-25.pdf</t>
        </is>
      </c>
      <c r="C10" s="12" t="inlineStr">
        <is>
          <t>Campo "Clinica/empresa" em branco no proprio laudo.</t>
        </is>
      </c>
    </row>
    <row r="11">
      <c r="A11" s="12" t="inlineStr">
        <is>
          <t>Vn076-26</t>
        </is>
      </c>
      <c r="B11" s="12" t="inlineStr">
        <is>
          <t>Vn 076-26.docx</t>
        </is>
      </c>
      <c r="C11" s="12" t="inlineStr">
        <is>
          <t>Campo "Especie" em branco no proprio laudo (raca informada: Yorkshire).</t>
        </is>
      </c>
    </row>
    <row r="12">
      <c r="A12" s="12" t="inlineStr">
        <is>
          <t>Vn077-26</t>
        </is>
      </c>
      <c r="B12" s="12" t="inlineStr">
        <is>
          <t>Vn 077-26.docx</t>
        </is>
      </c>
      <c r="C12" s="12" t="inlineStr">
        <is>
          <t>Campo "Clinica/empresa" em branco no proprio laudo.</t>
        </is>
      </c>
    </row>
    <row r="13">
      <c r="A13" s="12" t="inlineStr">
        <is>
          <t>Vn107-26</t>
        </is>
      </c>
      <c r="B13" s="12" t="inlineStr">
        <is>
          <t>Vn107-26.docx</t>
        </is>
      </c>
      <c r="C13" s="12" t="inlineStr">
        <is>
          <t>Texto IDENTICO ao de Vn111-26 e Vn112-26 (mesmo animal, tutor e RG). Conferir qual e o protocolo correto. Data de recebimento com erro de digitacao: "29/05/05/2026". Campo "Especie" em branco (raca: Poodle).</t>
        </is>
      </c>
    </row>
    <row r="14">
      <c r="A14" s="12" t="inlineStr">
        <is>
          <t>Vn111-26</t>
        </is>
      </c>
      <c r="B14" s="12" t="inlineStr">
        <is>
          <t>Vn111-26.docx</t>
        </is>
      </c>
      <c r="C14" s="12" t="inlineStr">
        <is>
          <t>Texto IDENTICO ao de Vn107-26 e Vn112-26 (mesmo animal, tutor e RG). Conferir qual e o protocolo correto. Data de recebimento com erro de digitacao: "29/05/05/2026". Campo "Especie" em branco (raca: Poodle).</t>
        </is>
      </c>
    </row>
    <row r="15">
      <c r="A15" s="12" t="inlineStr">
        <is>
          <t>Vn112-26</t>
        </is>
      </c>
      <c r="B15" s="12" t="inlineStr">
        <is>
          <t>Vn112-26.docx</t>
        </is>
      </c>
      <c r="C15" s="12" t="inlineStr">
        <is>
          <t>Texto IDENTICO ao de Vn107-26 e Vn111-26 (mesmo animal, tutor e RG). Conferir qual e o protocolo correto. Data de recebimento com erro de digitacao: "29/05/05/2026". Campo "Especie" em branco (raca: Poodle).</t>
        </is>
      </c>
    </row>
    <row r="16">
      <c r="A16" s="12" t="inlineStr">
        <is>
          <t>Vn117-26</t>
        </is>
      </c>
      <c r="B16" s="12" t="inlineStr">
        <is>
          <t>Vn117-26.docx</t>
        </is>
      </c>
      <c r="C16" s="12" t="inlineStr">
        <is>
          <t>O arquivo e o MODELO EM BRANCO: protocolo aparece como "(Vn-)" e nenhum campo esta preenchido.</t>
        </is>
      </c>
    </row>
    <row r="17">
      <c r="A17" s="12" t="inlineStr">
        <is>
          <t>Vn118-26</t>
        </is>
      </c>
      <c r="B17" s="12" t="inlineStr">
        <is>
          <t>Vn118-26.docx</t>
        </is>
      </c>
      <c r="C17" s="12" t="inlineStr">
        <is>
          <t>O arquivo e o MODELO EM BRANCO: protocolo aparece como "(Vn-)" e nenhum campo esta preenchido.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2026-08-25T13:05:47Z</dcterms:created>
  <dcterms:modified xmlns:dcterms="http://purl.org/dc/terms/" xmlns:xsi="http://www.w3.org/2001/XMLSchema-instance" xsi:type="dcterms:W3CDTF">2026-08-25T13:05:47Z</dcterms:modified>
</cp:coreProperties>
</file>